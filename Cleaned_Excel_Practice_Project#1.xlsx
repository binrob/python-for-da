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mc:AlternateContent xmlns:mc="http://schemas.openxmlformats.org/markup-compatibility/2006">
    <mc:Choice Requires="x15">
      <x15ac:absPath xmlns:x15ac="http://schemas.microsoft.com/office/spreadsheetml/2010/11/ac" url="D:\DA\Excel\"/>
    </mc:Choice>
  </mc:AlternateContent>
  <xr:revisionPtr revIDLastSave="0" documentId="13_ncr:1_{30FAF37A-5174-4C5E-8D36-1BF6A6AF1E39}" xr6:coauthVersionLast="45" xr6:coauthVersionMax="45" xr10:uidLastSave="{00000000-0000-0000-0000-000000000000}"/>
  <bookViews>
    <workbookView xWindow="-108" yWindow="-108" windowWidth="23256" windowHeight="12456" activeTab="1" xr2:uid="{00000000-000D-0000-FFFF-FFFF00000000}"/>
  </bookViews>
  <sheets>
    <sheet name="Sheet1" sheetId="1" r:id="rId1"/>
    <sheet name="Dashboard" sheetId="2" r:id="rId2"/>
    <sheet name="Sheet3" sheetId="3" r:id="rId3"/>
    <sheet name="Optional" sheetId="5" r:id="rId4"/>
  </sheets>
  <definedNames>
    <definedName name="Slicer_Month">#N/A</definedName>
    <definedName name="Slicer_Product_Category">#N/A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5" i="3" l="1"/>
  <c r="J2" i="1" l="1"/>
  <c r="J3" i="1"/>
  <c r="I3" i="1" s="1"/>
  <c r="J4" i="1"/>
  <c r="J5" i="1"/>
  <c r="I5" i="1" s="1"/>
  <c r="J6" i="1"/>
  <c r="J7" i="1"/>
  <c r="J8" i="1"/>
  <c r="J9" i="1"/>
  <c r="J10" i="1"/>
  <c r="J11" i="1"/>
  <c r="J12" i="1"/>
  <c r="J13" i="1"/>
  <c r="J14" i="1"/>
  <c r="J15" i="1"/>
  <c r="I15" i="1" s="1"/>
  <c r="J16" i="1"/>
  <c r="I16" i="1" s="1"/>
  <c r="J17" i="1"/>
  <c r="I17" i="1" s="1"/>
  <c r="J18" i="1"/>
  <c r="J19" i="1"/>
  <c r="J20" i="1"/>
  <c r="J21" i="1"/>
  <c r="J22" i="1"/>
  <c r="J23" i="1"/>
  <c r="J24" i="1"/>
  <c r="J25" i="1"/>
  <c r="J26" i="1"/>
  <c r="I26" i="1" s="1"/>
  <c r="J27" i="1"/>
  <c r="I27" i="1" s="1"/>
  <c r="J28" i="1"/>
  <c r="J29" i="1"/>
  <c r="J30" i="1"/>
  <c r="J3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K17" i="1" l="1"/>
  <c r="L17" i="1" s="1"/>
  <c r="K26" i="1"/>
  <c r="L26" i="1" s="1"/>
  <c r="K5" i="1"/>
  <c r="L5" i="1" s="1"/>
  <c r="K16" i="1"/>
  <c r="L16" i="1" s="1"/>
  <c r="K27" i="1"/>
  <c r="L27" i="1" s="1"/>
  <c r="K15" i="1"/>
  <c r="L15" i="1" s="1"/>
  <c r="K3" i="1"/>
  <c r="L3" i="1" s="1"/>
  <c r="I25" i="1"/>
  <c r="K25" i="1" s="1"/>
  <c r="L25" i="1" s="1"/>
  <c r="I23" i="1"/>
  <c r="K23" i="1" s="1"/>
  <c r="L23" i="1" s="1"/>
  <c r="I13" i="1"/>
  <c r="K13" i="1" s="1"/>
  <c r="L13" i="1" s="1"/>
  <c r="I24" i="1"/>
  <c r="K24" i="1" s="1"/>
  <c r="L24" i="1" s="1"/>
  <c r="I21" i="1"/>
  <c r="K21" i="1" s="1"/>
  <c r="L21" i="1" s="1"/>
  <c r="I20" i="1"/>
  <c r="K20" i="1" s="1"/>
  <c r="L20" i="1" s="1"/>
  <c r="I12" i="1"/>
  <c r="K12" i="1" s="1"/>
  <c r="L12" i="1" s="1"/>
  <c r="I11" i="1"/>
  <c r="K11" i="1" s="1"/>
  <c r="L11" i="1" s="1"/>
  <c r="I22" i="1"/>
  <c r="K22" i="1" s="1"/>
  <c r="L22" i="1" s="1"/>
  <c r="I10" i="1"/>
  <c r="K10" i="1" s="1"/>
  <c r="L10" i="1" s="1"/>
  <c r="I9" i="1"/>
  <c r="K9" i="1" s="1"/>
  <c r="L9" i="1" s="1"/>
  <c r="I8" i="1"/>
  <c r="K8" i="1" s="1"/>
  <c r="L8" i="1" s="1"/>
  <c r="I30" i="1"/>
  <c r="K30" i="1" s="1"/>
  <c r="L30" i="1" s="1"/>
  <c r="I29" i="1"/>
  <c r="K29" i="1" s="1"/>
  <c r="L29" i="1" s="1"/>
  <c r="I28" i="1"/>
  <c r="K28" i="1" s="1"/>
  <c r="L28" i="1" s="1"/>
  <c r="I4" i="1"/>
  <c r="K4" i="1" s="1"/>
  <c r="L4" i="1" s="1"/>
  <c r="I19" i="1"/>
  <c r="K19" i="1" s="1"/>
  <c r="L19" i="1" s="1"/>
  <c r="I18" i="1"/>
  <c r="K18" i="1" s="1"/>
  <c r="L18" i="1" s="1"/>
  <c r="I31" i="1"/>
  <c r="K31" i="1" s="1"/>
  <c r="L31" i="1" s="1"/>
  <c r="I7" i="1"/>
  <c r="K7" i="1" s="1"/>
  <c r="L7" i="1" s="1"/>
  <c r="I6" i="1"/>
  <c r="K6" i="1" s="1"/>
  <c r="L6" i="1" s="1"/>
  <c r="I14" i="1"/>
  <c r="K14" i="1" s="1"/>
  <c r="L14" i="1" s="1"/>
  <c r="I2" i="1"/>
  <c r="K2" i="1" s="1"/>
  <c r="C16" i="3" l="1"/>
  <c r="L2" i="1"/>
</calcChain>
</file>

<file path=xl/sharedStrings.xml><?xml version="1.0" encoding="utf-8"?>
<sst xmlns="http://schemas.openxmlformats.org/spreadsheetml/2006/main" count="325" uniqueCount="118">
  <si>
    <t>Order_Date</t>
  </si>
  <si>
    <t>Customer_ID</t>
  </si>
  <si>
    <t>Customer_Name</t>
  </si>
  <si>
    <t>Product_Category</t>
  </si>
  <si>
    <t>Product_Name</t>
  </si>
  <si>
    <t>Quantity</t>
  </si>
  <si>
    <t>Unit_Price</t>
  </si>
  <si>
    <t>Discount</t>
  </si>
  <si>
    <t>Shipping_Cost</t>
  </si>
  <si>
    <t>Payment_Method</t>
  </si>
  <si>
    <t>Region</t>
  </si>
  <si>
    <t>Status</t>
  </si>
  <si>
    <t>C001</t>
  </si>
  <si>
    <t>John Smith</t>
  </si>
  <si>
    <t>Electronics</t>
  </si>
  <si>
    <t>Wireless Mouse</t>
  </si>
  <si>
    <t>Credit Card</t>
  </si>
  <si>
    <t>North</t>
  </si>
  <si>
    <t>Completed</t>
  </si>
  <si>
    <t>C002</t>
  </si>
  <si>
    <t>Sarah Johnson</t>
  </si>
  <si>
    <t>Home &amp; Garden</t>
  </si>
  <si>
    <t>Garden Tools Set</t>
  </si>
  <si>
    <t>PayPal</t>
  </si>
  <si>
    <t>South</t>
  </si>
  <si>
    <t>C003</t>
  </si>
  <si>
    <t>Michael Brown</t>
  </si>
  <si>
    <t>USB Cable</t>
  </si>
  <si>
    <t>Debit Card</t>
  </si>
  <si>
    <t>East</t>
  </si>
  <si>
    <t>Books</t>
  </si>
  <si>
    <t>Python Programming</t>
  </si>
  <si>
    <t>C004</t>
  </si>
  <si>
    <t>Emily Davis</t>
  </si>
  <si>
    <t>Clothing</t>
  </si>
  <si>
    <t>T-Shirt</t>
  </si>
  <si>
    <t>West</t>
  </si>
  <si>
    <t>C005</t>
  </si>
  <si>
    <t>David Wilson</t>
  </si>
  <si>
    <t>Bluetooth Speaker</t>
  </si>
  <si>
    <t>C006</t>
  </si>
  <si>
    <t>Lisa Anderson</t>
  </si>
  <si>
    <t>Bedding Set</t>
  </si>
  <si>
    <t>Phone Charger</t>
  </si>
  <si>
    <t>C007</t>
  </si>
  <si>
    <t>James Taylor</t>
  </si>
  <si>
    <t>Data Analytics Guide</t>
  </si>
  <si>
    <t>C008</t>
  </si>
  <si>
    <t>Maria Garcia</t>
  </si>
  <si>
    <t>Winter Jacket</t>
  </si>
  <si>
    <t>Laptop Stand</t>
  </si>
  <si>
    <t>C009</t>
  </si>
  <si>
    <t>Robert Martinez</t>
  </si>
  <si>
    <t>Kitchen Organizer</t>
  </si>
  <si>
    <t>Wireless Keyboard</t>
  </si>
  <si>
    <t>Cancelled</t>
  </si>
  <si>
    <t>C010</t>
  </si>
  <si>
    <t>Jennifer Lee</t>
  </si>
  <si>
    <t>Excel for Business</t>
  </si>
  <si>
    <t>HDMI Cable</t>
  </si>
  <si>
    <t>C011</t>
  </si>
  <si>
    <t>William Thomas</t>
  </si>
  <si>
    <t>Running Shoes</t>
  </si>
  <si>
    <t>Wall Clock</t>
  </si>
  <si>
    <t>C012</t>
  </si>
  <si>
    <t>Patricia White</t>
  </si>
  <si>
    <t>Webcam</t>
  </si>
  <si>
    <t>Machine Learning</t>
  </si>
  <si>
    <t>C013</t>
  </si>
  <si>
    <t>Christopher Harris</t>
  </si>
  <si>
    <t>Jeans</t>
  </si>
  <si>
    <t>Power Bank</t>
  </si>
  <si>
    <t>C014</t>
  </si>
  <si>
    <t>Barbara Clark</t>
  </si>
  <si>
    <t>Curtains</t>
  </si>
  <si>
    <t>Mouse Pad</t>
  </si>
  <si>
    <t>C015</t>
  </si>
  <si>
    <t>Daniel Rodriguez</t>
  </si>
  <si>
    <t>SQL Mastery</t>
  </si>
  <si>
    <t>Summer Dress</t>
  </si>
  <si>
    <t>Tablet Case</t>
  </si>
  <si>
    <t>C016</t>
  </si>
  <si>
    <t>Mark Wilson</t>
  </si>
  <si>
    <t>Plant Pot Set</t>
  </si>
  <si>
    <t>Screen Protector</t>
  </si>
  <si>
    <t>Business Intelligence</t>
  </si>
  <si>
    <t>Scarf</t>
  </si>
  <si>
    <t>Profit</t>
  </si>
  <si>
    <t>Month</t>
  </si>
  <si>
    <t>Gross_Revenue</t>
  </si>
  <si>
    <t>Discount_Amount</t>
  </si>
  <si>
    <t>Net_Revenue</t>
  </si>
  <si>
    <t>Pivot Dashboard</t>
  </si>
  <si>
    <t>Pivot 1 :</t>
  </si>
  <si>
    <t>Revenue by Category</t>
  </si>
  <si>
    <t>Row Labels</t>
  </si>
  <si>
    <t>Grand Total</t>
  </si>
  <si>
    <t>Sum of Net_Revenue</t>
  </si>
  <si>
    <t>Pivot 2 :</t>
  </si>
  <si>
    <t>Revenue by Region</t>
  </si>
  <si>
    <t>Pivot 3:</t>
  </si>
  <si>
    <t>Monthly Trend</t>
  </si>
  <si>
    <t>Pivot 4:</t>
  </si>
  <si>
    <t>Payment Method Analysis</t>
  </si>
  <si>
    <t>Pitvot 5:</t>
  </si>
  <si>
    <t>Top 10 Customers</t>
  </si>
  <si>
    <t>Part 3</t>
  </si>
  <si>
    <t>Q1</t>
  </si>
  <si>
    <t>as we can see in pivot table</t>
  </si>
  <si>
    <t>"--&gt;"</t>
  </si>
  <si>
    <t>Q2</t>
  </si>
  <si>
    <t>total revenue=</t>
  </si>
  <si>
    <t>total orders =</t>
  </si>
  <si>
    <t>avg_order_</t>
  </si>
  <si>
    <t>Average of Shipping_Cost</t>
  </si>
  <si>
    <t>Max of Avg_order_value</t>
  </si>
  <si>
    <t>Count of Order_Date</t>
  </si>
  <si>
    <t>Average of Net_Revenue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</si>
</sst>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4" x14ac:knownFonts="1">
    <font>
      <sz val="11"/>
      <color theme="1"/>
      <name val="Calibri"/>
      <family val="2"/>
      <scheme val="minor"/>
    </font>
    <font>
      <b/>
      <sz val="11"/>
      <name val="Calibri"/>
    </font>
    <font>
      <b/>
      <sz val="11"/>
      <name val="Calibri"/>
      <family val="2"/>
    </font>
    <font>
      <b/>
      <i/>
      <sz val="2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5"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[Cleaned_Excel_Practice_Project#1.xlsx]Dashboard!PivotTable1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1"/>
          <c:y val="0.24939596092155147"/>
          <c:w val="0.77378937007874016"/>
          <c:h val="0.53774387576552929"/>
        </c:manualLayout>
      </c:layout>
      <c:barChart>
        <c:barDir val="col"/>
        <c:grouping val="clustered"/>
        <c:varyColors val="0"/>
        <c:ser>
          <c:idx val="0"/>
          <c:order val="0"/>
          <c:tx>
            <c:strRef>
              <c:f>Dashboard!$D$2</c:f>
              <c:strCache>
                <c:ptCount val="1"/>
                <c:pt idx="0">
                  <c:v>Total</c:v>
                </c:pt>
              </c:strCache>
            </c:strRef>
          </c:tx>
          <c:spPr>
            <a:solidFill>
              <a:schemeClr val="accent1"/>
            </a:solidFill>
            <a:ln>
              <a:noFill/>
            </a:ln>
            <a:effectLst/>
          </c:spPr>
          <c:invertIfNegative val="0"/>
          <c:cat>
            <c:strRef>
              <c:f>Dashboard!$C$3:$C$7</c:f>
              <c:strCache>
                <c:ptCount val="4"/>
                <c:pt idx="0">
                  <c:v>Clothing</c:v>
                </c:pt>
                <c:pt idx="1">
                  <c:v>Home &amp; Garden</c:v>
                </c:pt>
                <c:pt idx="2">
                  <c:v>Books</c:v>
                </c:pt>
                <c:pt idx="3">
                  <c:v>Electronics</c:v>
                </c:pt>
              </c:strCache>
            </c:strRef>
          </c:cat>
          <c:val>
            <c:numRef>
              <c:f>Dashboard!$D$3:$D$7</c:f>
              <c:numCache>
                <c:formatCode>General</c:formatCode>
                <c:ptCount val="4"/>
                <c:pt idx="0">
                  <c:v>74.152750000000012</c:v>
                </c:pt>
                <c:pt idx="1">
                  <c:v>74.151499999999999</c:v>
                </c:pt>
                <c:pt idx="2">
                  <c:v>54.333333333333336</c:v>
                </c:pt>
                <c:pt idx="3">
                  <c:v>48.582666666666661</c:v>
                </c:pt>
              </c:numCache>
            </c:numRef>
          </c:val>
          <c:extLst>
            <c:ext xmlns:c16="http://schemas.microsoft.com/office/drawing/2014/chart" uri="{C3380CC4-5D6E-409C-BE32-E72D297353CC}">
              <c16:uniqueId val="{00000000-AD81-4C7D-A2DE-004839651232}"/>
            </c:ext>
          </c:extLst>
        </c:ser>
        <c:dLbls>
          <c:showLegendKey val="0"/>
          <c:showVal val="0"/>
          <c:showCatName val="0"/>
          <c:showSerName val="0"/>
          <c:showPercent val="0"/>
          <c:showBubbleSize val="0"/>
        </c:dLbls>
        <c:gapWidth val="219"/>
        <c:overlap val="-27"/>
        <c:axId val="1219181263"/>
        <c:axId val="1648106927"/>
      </c:barChart>
      <c:catAx>
        <c:axId val="121918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106927"/>
        <c:crosses val="autoZero"/>
        <c:auto val="1"/>
        <c:lblAlgn val="ctr"/>
        <c:lblOffset val="100"/>
        <c:noMultiLvlLbl val="0"/>
      </c:catAx>
      <c:valAx>
        <c:axId val="164810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18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[Cleaned_Excel_Practice_Project#1.xlsx]Dashboard!PivotTable2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Dashboard!$D$13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Dashboard!$C$14:$C$18</c:f>
              <c:strCache>
                <c:ptCount val="4"/>
                <c:pt idx="0">
                  <c:v>West</c:v>
                </c:pt>
                <c:pt idx="1">
                  <c:v>South</c:v>
                </c:pt>
                <c:pt idx="2">
                  <c:v>East</c:v>
                </c:pt>
                <c:pt idx="3">
                  <c:v>North</c:v>
                </c:pt>
              </c:strCache>
            </c:strRef>
          </c:cat>
          <c:val>
            <c:numRef>
              <c:f>Dashboard!$D$14:$D$18</c:f>
              <c:numCache>
                <c:formatCode>General</c:formatCode>
                <c:ptCount val="4"/>
                <c:pt idx="0">
                  <c:v>499.70449999999994</c:v>
                </c:pt>
                <c:pt idx="1">
                  <c:v>498.82099999999997</c:v>
                </c:pt>
                <c:pt idx="2">
                  <c:v>408.38700000000006</c:v>
                </c:pt>
                <c:pt idx="3">
                  <c:v>391.90499999999997</c:v>
                </c:pt>
              </c:numCache>
            </c:numRef>
          </c:val>
          <c:extLst>
            <c:ext xmlns:c16="http://schemas.microsoft.com/office/drawing/2014/chart" uri="{C3380CC4-5D6E-409C-BE32-E72D297353CC}">
              <c16:uniqueId val="{00000000-F9A4-4D48-B6D5-B40ADA9822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[Cleaned_Excel_Practice_Project#1.xlsx]Dashboard!PivotTable3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7611186097263"/>
          <c:y val="0.30010407596644922"/>
          <c:w val="0.73458530183727033"/>
          <c:h val="0.53774387576552929"/>
        </c:manualLayout>
      </c:layout>
      <c:lineChart>
        <c:grouping val="standard"/>
        <c:varyColors val="0"/>
        <c:ser>
          <c:idx val="0"/>
          <c:order val="0"/>
          <c:tx>
            <c:strRef>
              <c:f>Dashboard!$L$4</c:f>
              <c:strCache>
                <c:ptCount val="1"/>
                <c:pt idx="0">
                  <c:v>Total</c:v>
                </c:pt>
              </c:strCache>
            </c:strRef>
          </c:tx>
          <c:spPr>
            <a:ln w="28575" cap="rnd">
              <a:solidFill>
                <a:schemeClr val="accent1"/>
              </a:solidFill>
              <a:round/>
            </a:ln>
            <a:effectLst/>
          </c:spPr>
          <c:marker>
            <c:symbol val="none"/>
          </c:marker>
          <c:cat>
            <c:strRef>
              <c:f>Dashboard!$K$5:$K$8</c:f>
              <c:strCache>
                <c:ptCount val="3"/>
                <c:pt idx="0">
                  <c:v>1</c:v>
                </c:pt>
                <c:pt idx="1">
                  <c:v>2</c:v>
                </c:pt>
                <c:pt idx="2">
                  <c:v>3</c:v>
                </c:pt>
              </c:strCache>
            </c:strRef>
          </c:cat>
          <c:val>
            <c:numRef>
              <c:f>Dashboard!$L$5:$L$8</c:f>
              <c:numCache>
                <c:formatCode>General</c:formatCode>
                <c:ptCount val="3"/>
                <c:pt idx="0">
                  <c:v>543.85400000000004</c:v>
                </c:pt>
                <c:pt idx="1">
                  <c:v>496.41650000000004</c:v>
                </c:pt>
                <c:pt idx="2">
                  <c:v>758.54700000000003</c:v>
                </c:pt>
              </c:numCache>
            </c:numRef>
          </c:val>
          <c:smooth val="0"/>
          <c:extLst>
            <c:ext xmlns:c16="http://schemas.microsoft.com/office/drawing/2014/chart" uri="{C3380CC4-5D6E-409C-BE32-E72D297353CC}">
              <c16:uniqueId val="{00000000-DB9E-4D7D-9E84-DA9591CAC73C}"/>
            </c:ext>
          </c:extLst>
        </c:ser>
        <c:dLbls>
          <c:showLegendKey val="0"/>
          <c:showVal val="0"/>
          <c:showCatName val="0"/>
          <c:showSerName val="0"/>
          <c:showPercent val="0"/>
          <c:showBubbleSize val="0"/>
        </c:dLbls>
        <c:smooth val="0"/>
        <c:axId val="1650013583"/>
        <c:axId val="1956847855"/>
      </c:lineChart>
      <c:catAx>
        <c:axId val="165001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47855"/>
        <c:crosses val="autoZero"/>
        <c:auto val="1"/>
        <c:lblAlgn val="ctr"/>
        <c:lblOffset val="100"/>
        <c:noMultiLvlLbl val="0"/>
      </c:catAx>
      <c:valAx>
        <c:axId val="195684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1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[Cleaned_Excel_Practice_Project#1.xlsx]Dashboard!PivotTable4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Dashboard!$L$14</c:f>
              <c:strCache>
                <c:ptCount val="1"/>
                <c:pt idx="0">
                  <c:v>Total</c:v>
                </c:pt>
              </c:strCache>
            </c:strRef>
          </c:tx>
          <c:spPr>
            <a:solidFill>
              <a:schemeClr val="accent1"/>
            </a:solidFill>
            <a:ln>
              <a:noFill/>
            </a:ln>
            <a:effectLst/>
          </c:spPr>
          <c:invertIfNegative val="0"/>
          <c:cat>
            <c:strRef>
              <c:f>Dashboard!$K$15:$K$18</c:f>
              <c:strCache>
                <c:ptCount val="3"/>
                <c:pt idx="0">
                  <c:v>Debit Card</c:v>
                </c:pt>
                <c:pt idx="1">
                  <c:v>PayPal</c:v>
                </c:pt>
                <c:pt idx="2">
                  <c:v>Credit Card</c:v>
                </c:pt>
              </c:strCache>
            </c:strRef>
          </c:cat>
          <c:val>
            <c:numRef>
              <c:f>Dashboard!$L$15:$L$18</c:f>
              <c:numCache>
                <c:formatCode>General</c:formatCode>
                <c:ptCount val="3"/>
                <c:pt idx="0">
                  <c:v>69.541722222222234</c:v>
                </c:pt>
                <c:pt idx="1">
                  <c:v>57.58059999999999</c:v>
                </c:pt>
                <c:pt idx="2">
                  <c:v>54.285090909090918</c:v>
                </c:pt>
              </c:numCache>
            </c:numRef>
          </c:val>
          <c:extLst>
            <c:ext xmlns:c16="http://schemas.microsoft.com/office/drawing/2014/chart" uri="{C3380CC4-5D6E-409C-BE32-E72D297353CC}">
              <c16:uniqueId val="{00000000-27DB-4BA8-89B7-04BFFB39EFA4}"/>
            </c:ext>
          </c:extLst>
        </c:ser>
        <c:dLbls>
          <c:showLegendKey val="0"/>
          <c:showVal val="0"/>
          <c:showCatName val="0"/>
          <c:showSerName val="0"/>
          <c:showPercent val="0"/>
          <c:showBubbleSize val="0"/>
        </c:dLbls>
        <c:gapWidth val="219"/>
        <c:overlap val="-27"/>
        <c:axId val="1963281679"/>
        <c:axId val="1957975455"/>
      </c:barChart>
      <c:catAx>
        <c:axId val="196328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75455"/>
        <c:crosses val="autoZero"/>
        <c:auto val="1"/>
        <c:lblAlgn val="ctr"/>
        <c:lblOffset val="100"/>
        <c:noMultiLvlLbl val="0"/>
      </c:catAx>
      <c:valAx>
        <c:axId val="195797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1</xdr:row>
      <xdr:rowOff>22860</xdr:rowOff>
    </xdr:from>
    <xdr:to>
      <xdr:col>9</xdr:col>
      <xdr:colOff>106680</xdr:colOff>
      <xdr:row>10</xdr:row>
      <xdr:rowOff>152400</xdr:rowOff>
    </xdr:to>
    <xdr:graphicFrame macro="">
      <xdr:nvGraphicFramePr>
        <xdr:cNvPr id="2" name="Chart 1">
          <a:extLst>
            <a:ext uri="{FF2B5EF4-FFF2-40B4-BE49-F238E27FC236}">
              <a16:creationId xmlns:a16="http://schemas.microsoft.com/office/drawing/2014/main" id="{0E31C997-11BB-4550-8FCD-4A04669F6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10</xdr:row>
      <xdr:rowOff>175260</xdr:rowOff>
    </xdr:from>
    <xdr:to>
      <xdr:col>9</xdr:col>
      <xdr:colOff>60960</xdr:colOff>
      <xdr:row>21</xdr:row>
      <xdr:rowOff>99060</xdr:rowOff>
    </xdr:to>
    <xdr:graphicFrame macro="">
      <xdr:nvGraphicFramePr>
        <xdr:cNvPr id="3" name="Chart 2">
          <a:extLst>
            <a:ext uri="{FF2B5EF4-FFF2-40B4-BE49-F238E27FC236}">
              <a16:creationId xmlns:a16="http://schemas.microsoft.com/office/drawing/2014/main" id="{7A4029E8-7236-41C8-BC42-DCE9887CC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494805</xdr:colOff>
      <xdr:row>1</xdr:row>
      <xdr:rowOff>57991</xdr:rowOff>
    </xdr:from>
    <xdr:to>
      <xdr:col>19</xdr:col>
      <xdr:colOff>407719</xdr:colOff>
      <xdr:row>10</xdr:row>
      <xdr:rowOff>83128</xdr:rowOff>
    </xdr:to>
    <xdr:graphicFrame macro="">
      <xdr:nvGraphicFramePr>
        <xdr:cNvPr id="5" name="Chart 4">
          <a:extLst>
            <a:ext uri="{FF2B5EF4-FFF2-40B4-BE49-F238E27FC236}">
              <a16:creationId xmlns:a16="http://schemas.microsoft.com/office/drawing/2014/main" id="{E8F48A8B-2DFB-4B72-A506-797174B92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392410</xdr:colOff>
      <xdr:row>10</xdr:row>
      <xdr:rowOff>101464</xdr:rowOff>
    </xdr:from>
    <xdr:to>
      <xdr:col>19</xdr:col>
      <xdr:colOff>83128</xdr:colOff>
      <xdr:row>21</xdr:row>
      <xdr:rowOff>25264</xdr:rowOff>
    </xdr:to>
    <xdr:graphicFrame macro="">
      <xdr:nvGraphicFramePr>
        <xdr:cNvPr id="6" name="Chart 5">
          <a:extLst>
            <a:ext uri="{FF2B5EF4-FFF2-40B4-BE49-F238E27FC236}">
              <a16:creationId xmlns:a16="http://schemas.microsoft.com/office/drawing/2014/main" id="{6ECAE363-C436-487F-BE85-0D80BE6A7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692954</xdr:colOff>
      <xdr:row>22</xdr:row>
      <xdr:rowOff>120791</xdr:rowOff>
    </xdr:from>
    <xdr:to>
      <xdr:col>13</xdr:col>
      <xdr:colOff>293094</xdr:colOff>
      <xdr:row>36</xdr:row>
      <xdr:rowOff>72699</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F5DBD381-ED32-4058-9BCB-1791D80FF71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1719542" y="4316273"/>
              <a:ext cx="1823387" cy="2462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561435</xdr:colOff>
      <xdr:row>26</xdr:row>
      <xdr:rowOff>103542</xdr:rowOff>
    </xdr:from>
    <xdr:to>
      <xdr:col>11</xdr:col>
      <xdr:colOff>238649</xdr:colOff>
      <xdr:row>40</xdr:row>
      <xdr:rowOff>60401</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18B9A967-0011-4B1B-87A6-6EE1DFC396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445459" y="5016201"/>
              <a:ext cx="1819778" cy="2466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270064</xdr:colOff>
      <xdr:row>26</xdr:row>
      <xdr:rowOff>27908</xdr:rowOff>
    </xdr:from>
    <xdr:to>
      <xdr:col>17</xdr:col>
      <xdr:colOff>269249</xdr:colOff>
      <xdr:row>39</xdr:row>
      <xdr:rowOff>169822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BC9F18A-808E-484F-87C9-F59DC7BDA0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29499" y="4940567"/>
              <a:ext cx="1827985" cy="2472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92.41007824074" createdVersion="6" refreshedVersion="6" minRefreshableVersion="3" recordCount="30" xr:uid="{1362B808-96F9-4C88-9BB7-08B3DDCCBEDD}">
  <cacheSource type="worksheet">
    <worksheetSource name="Table1"/>
  </cacheSource>
  <cacheFields count="18">
    <cacheField name="Order_Date" numFmtId="165">
      <sharedItems containsSemiMixedTypes="0" containsNonDate="0" containsDate="1" containsString="0" minDate="2024-01-05T00:00:00" maxDate="2024-04-01T00:00:00"/>
    </cacheField>
    <cacheField name="Customer_ID" numFmtId="0">
      <sharedItems/>
    </cacheField>
    <cacheField name="Customer_Name" numFmtId="0">
      <sharedItems count="16">
        <s v="John Smith"/>
        <s v="Sarah Johnson"/>
        <s v="Michael Brown"/>
        <s v="Emily Davis"/>
        <s v="David Wilson"/>
        <s v="Lisa Anderson"/>
        <s v="James Taylor"/>
        <s v="Maria Garcia"/>
        <s v="Robert Martinez"/>
        <s v="Jennifer Lee"/>
        <s v="William Thomas"/>
        <s v="Patricia White"/>
        <s v="Christopher Harris"/>
        <s v="Barbara Clark"/>
        <s v="Daniel Rodriguez"/>
        <s v="Mark Wilson"/>
      </sharedItems>
    </cacheField>
    <cacheField name="Product_Category" numFmtId="0">
      <sharedItems count="4">
        <s v="Electronics"/>
        <s v="Home &amp; Garden"/>
        <s v="Books"/>
        <s v="Clothing"/>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6.99" maxValue="129.99"/>
    </cacheField>
    <cacheField name="Discount" numFmtId="0">
      <sharedItems containsSemiMixedTypes="0" containsString="0" containsNumber="1" minValue="0" maxValue="0.25"/>
    </cacheField>
    <cacheField name="Discount_Amount" numFmtId="0">
      <sharedItems containsSemiMixedTypes="0" containsString="0" containsNumber="1" minValue="0" maxValue="32.497500000000002"/>
    </cacheField>
    <cacheField name="Gross_Revenue" numFmtId="0">
      <sharedItems containsSemiMixedTypes="0" containsString="0" containsNumber="1" minValue="25.98" maxValue="129.99"/>
    </cacheField>
    <cacheField name="Net_Revenue" numFmtId="0">
      <sharedItems containsSemiMixedTypes="0" containsString="0" containsNumber="1" minValue="28.98" maxValue="103.98400000000001"/>
    </cacheField>
    <cacheField name="Profit" numFmtId="0">
      <sharedItems containsSemiMixedTypes="0" containsString="0" containsNumber="1" minValue="11.592000000000001" maxValue="41.593600000000009"/>
    </cacheField>
    <cacheField name="Month" numFmtId="0">
      <sharedItems containsSemiMixedTypes="0" containsString="0" containsNumber="1" containsInteger="1" minValue="1" maxValue="3" count="3">
        <n v="1"/>
        <n v="2"/>
        <n v="3"/>
      </sharedItems>
    </cacheField>
    <cacheField name="Shipping_Cost" numFmtId="0">
      <sharedItems containsSemiMixedTypes="0" containsString="0" containsNumber="1" containsInteger="1" minValue="0" maxValue="12"/>
    </cacheField>
    <cacheField name="Payment_Method" numFmtId="0">
      <sharedItems count="3">
        <s v="Credit Card"/>
        <s v="PayPal"/>
        <s v="Debit Card"/>
      </sharedItems>
    </cacheField>
    <cacheField name="Region" numFmtId="0">
      <sharedItems count="4">
        <s v="North"/>
        <s v="South"/>
        <s v="East"/>
        <s v="West"/>
      </sharedItems>
    </cacheField>
    <cacheField name="Status" numFmtId="0">
      <sharedItems/>
    </cacheField>
    <cacheField name="Avg_order_value" numFmtId="0" formula="Net_Revenue /Quantity" databaseField="0"/>
  </cacheFields>
  <extLst>
    <ext xmlns:x14="http://schemas.microsoft.com/office/spreadsheetml/2009/9/main" uri="{725AE2AE-9491-48be-B2B4-4EB974FC3084}">
      <x14:pivotCacheDefinition pivotCacheId="1122030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4-01-05T00:00:00"/>
    <s v="C001"/>
    <x v="0"/>
    <x v="0"/>
    <s v="Wireless Mouse"/>
    <n v="2"/>
    <n v="29.99"/>
    <n v="0.1"/>
    <n v="5.9980000000000002"/>
    <n v="59.98"/>
    <n v="58.981999999999999"/>
    <n v="23.5928"/>
    <x v="0"/>
    <n v="5"/>
    <x v="0"/>
    <x v="0"/>
    <s v="Completed"/>
  </r>
  <r>
    <d v="2024-01-08T00:00:00"/>
    <s v="C002"/>
    <x v="1"/>
    <x v="1"/>
    <s v="Garden Tools Set"/>
    <n v="1"/>
    <n v="89.5"/>
    <n v="0"/>
    <n v="0"/>
    <n v="89.5"/>
    <n v="101.5"/>
    <n v="40.6"/>
    <x v="0"/>
    <n v="12"/>
    <x v="1"/>
    <x v="1"/>
    <s v="Completed"/>
  </r>
  <r>
    <d v="2024-01-12T00:00:00"/>
    <s v="C003"/>
    <x v="2"/>
    <x v="0"/>
    <s v="USB Cable"/>
    <n v="5"/>
    <n v="9.99"/>
    <n v="0.05"/>
    <n v="2.4975000000000005"/>
    <n v="49.95"/>
    <n v="50.452500000000001"/>
    <n v="20.181000000000001"/>
    <x v="0"/>
    <n v="3"/>
    <x v="2"/>
    <x v="2"/>
    <s v="Completed"/>
  </r>
  <r>
    <d v="2024-01-15T00:00:00"/>
    <s v="C001"/>
    <x v="0"/>
    <x v="2"/>
    <s v="Python Programming"/>
    <n v="1"/>
    <n v="45"/>
    <n v="0"/>
    <n v="0"/>
    <n v="45"/>
    <n v="49"/>
    <n v="19.600000000000001"/>
    <x v="0"/>
    <n v="4"/>
    <x v="0"/>
    <x v="0"/>
    <s v="Completed"/>
  </r>
  <r>
    <d v="2024-01-18T00:00:00"/>
    <s v="C004"/>
    <x v="3"/>
    <x v="3"/>
    <s v="T-Shirt"/>
    <n v="3"/>
    <n v="19.989999999999998"/>
    <n v="0.15"/>
    <n v="8.9954999999999998"/>
    <n v="59.97"/>
    <n v="56.974499999999999"/>
    <n v="22.7898"/>
    <x v="0"/>
    <n v="6"/>
    <x v="0"/>
    <x v="3"/>
    <s v="Completed"/>
  </r>
  <r>
    <d v="2024-01-22T00:00:00"/>
    <s v="C005"/>
    <x v="4"/>
    <x v="0"/>
    <s v="Bluetooth Speaker"/>
    <n v="1"/>
    <n v="79.989999999999995"/>
    <n v="0.1"/>
    <n v="7.9989999999999997"/>
    <n v="79.989999999999995"/>
    <n v="71.991"/>
    <n v="28.796400000000002"/>
    <x v="0"/>
    <n v="0"/>
    <x v="1"/>
    <x v="0"/>
    <s v="Completed"/>
  </r>
  <r>
    <d v="2024-01-25T00:00:00"/>
    <s v="C006"/>
    <x v="5"/>
    <x v="1"/>
    <s v="Bedding Set"/>
    <n v="2"/>
    <n v="59.99"/>
    <n v="0.2"/>
    <n v="23.996000000000002"/>
    <n v="119.98"/>
    <n v="103.98400000000001"/>
    <n v="41.593600000000009"/>
    <x v="0"/>
    <n v="8"/>
    <x v="2"/>
    <x v="1"/>
    <s v="Completed"/>
  </r>
  <r>
    <d v="2024-01-28T00:00:00"/>
    <s v="C002"/>
    <x v="1"/>
    <x v="0"/>
    <s v="Phone Charger"/>
    <n v="3"/>
    <n v="15.99"/>
    <n v="0"/>
    <n v="0"/>
    <n v="47.97"/>
    <n v="50.97"/>
    <n v="20.388000000000002"/>
    <x v="0"/>
    <n v="3"/>
    <x v="1"/>
    <x v="1"/>
    <s v="Completed"/>
  </r>
  <r>
    <d v="2024-02-02T00:00:00"/>
    <s v="C007"/>
    <x v="6"/>
    <x v="2"/>
    <s v="Data Analytics Guide"/>
    <n v="1"/>
    <n v="52"/>
    <n v="0"/>
    <n v="0"/>
    <n v="52"/>
    <n v="56"/>
    <n v="22.400000000000002"/>
    <x v="1"/>
    <n v="4"/>
    <x v="0"/>
    <x v="2"/>
    <s v="Completed"/>
  </r>
  <r>
    <d v="2024-02-05T00:00:00"/>
    <s v="C008"/>
    <x v="7"/>
    <x v="3"/>
    <s v="Winter Jacket"/>
    <n v="1"/>
    <n v="129.99"/>
    <n v="0.25"/>
    <n v="32.497500000000002"/>
    <n v="129.99"/>
    <n v="97.492500000000007"/>
    <n v="38.997000000000007"/>
    <x v="1"/>
    <n v="0"/>
    <x v="2"/>
    <x v="3"/>
    <s v="Completed"/>
  </r>
  <r>
    <d v="2024-02-08T00:00:00"/>
    <s v="C003"/>
    <x v="2"/>
    <x v="0"/>
    <s v="Laptop Stand"/>
    <n v="1"/>
    <n v="39.99"/>
    <n v="0"/>
    <n v="0"/>
    <n v="39.99"/>
    <n v="44.99"/>
    <n v="17.996000000000002"/>
    <x v="1"/>
    <n v="5"/>
    <x v="2"/>
    <x v="2"/>
    <s v="Completed"/>
  </r>
  <r>
    <d v="2024-02-12T00:00:00"/>
    <s v="C009"/>
    <x v="8"/>
    <x v="1"/>
    <s v="Kitchen Organizer"/>
    <n v="2"/>
    <n v="24.99"/>
    <n v="0.1"/>
    <n v="4.9980000000000002"/>
    <n v="49.98"/>
    <n v="50.981999999999999"/>
    <n v="20.392800000000001"/>
    <x v="1"/>
    <n v="6"/>
    <x v="1"/>
    <x v="0"/>
    <s v="Completed"/>
  </r>
  <r>
    <d v="2024-02-15T00:00:00"/>
    <s v="C004"/>
    <x v="3"/>
    <x v="0"/>
    <s v="Wireless Keyboard"/>
    <n v="1"/>
    <n v="49.99"/>
    <n v="0.05"/>
    <n v="2.4995000000000003"/>
    <n v="49.99"/>
    <n v="52.490500000000004"/>
    <n v="20.996200000000002"/>
    <x v="1"/>
    <n v="5"/>
    <x v="0"/>
    <x v="3"/>
    <s v="Cancelled"/>
  </r>
  <r>
    <d v="2024-02-18T00:00:00"/>
    <s v="C010"/>
    <x v="9"/>
    <x v="2"/>
    <s v="Excel for Business"/>
    <n v="1"/>
    <n v="38"/>
    <n v="0"/>
    <n v="0"/>
    <n v="38"/>
    <n v="42"/>
    <n v="16.8"/>
    <x v="1"/>
    <n v="4"/>
    <x v="1"/>
    <x v="1"/>
    <s v="Completed"/>
  </r>
  <r>
    <d v="2024-02-22T00:00:00"/>
    <s v="C001"/>
    <x v="0"/>
    <x v="0"/>
    <s v="HDMI Cable"/>
    <n v="2"/>
    <n v="12.99"/>
    <n v="0"/>
    <n v="0"/>
    <n v="25.98"/>
    <n v="28.98"/>
    <n v="11.592000000000001"/>
    <x v="1"/>
    <n v="3"/>
    <x v="0"/>
    <x v="0"/>
    <s v="Completed"/>
  </r>
  <r>
    <d v="2024-02-25T00:00:00"/>
    <s v="C011"/>
    <x v="10"/>
    <x v="3"/>
    <s v="Running Shoes"/>
    <n v="1"/>
    <n v="89.99"/>
    <n v="0.15"/>
    <n v="13.498499999999998"/>
    <n v="89.99"/>
    <n v="83.491500000000002"/>
    <n v="33.396599999999999"/>
    <x v="1"/>
    <n v="7"/>
    <x v="2"/>
    <x v="2"/>
    <s v="Completed"/>
  </r>
  <r>
    <d v="2024-02-28T00:00:00"/>
    <s v="C006"/>
    <x v="5"/>
    <x v="1"/>
    <s v="Wall Clock"/>
    <n v="1"/>
    <n v="34.99"/>
    <n v="0"/>
    <n v="0"/>
    <n v="34.99"/>
    <n v="39.99"/>
    <n v="15.996000000000002"/>
    <x v="1"/>
    <n v="5"/>
    <x v="2"/>
    <x v="1"/>
    <s v="Completed"/>
  </r>
  <r>
    <d v="2024-03-03T00:00:00"/>
    <s v="C012"/>
    <x v="11"/>
    <x v="0"/>
    <s v="Webcam"/>
    <n v="1"/>
    <n v="69.989999999999995"/>
    <n v="0.1"/>
    <n v="6.9989999999999997"/>
    <n v="69.989999999999995"/>
    <n v="67.990999999999985"/>
    <n v="27.196399999999997"/>
    <x v="2"/>
    <n v="5"/>
    <x v="0"/>
    <x v="3"/>
    <s v="Completed"/>
  </r>
  <r>
    <d v="2024-03-06T00:00:00"/>
    <s v="C005"/>
    <x v="4"/>
    <x v="2"/>
    <s v="Machine Learning"/>
    <n v="1"/>
    <n v="64"/>
    <n v="0"/>
    <n v="0"/>
    <n v="64"/>
    <n v="68"/>
    <n v="27.200000000000003"/>
    <x v="2"/>
    <n v="4"/>
    <x v="1"/>
    <x v="0"/>
    <s v="Completed"/>
  </r>
  <r>
    <d v="2024-03-10T00:00:00"/>
    <s v="C013"/>
    <x v="12"/>
    <x v="3"/>
    <s v="Jeans"/>
    <n v="2"/>
    <n v="49.99"/>
    <n v="0.2"/>
    <n v="19.996000000000002"/>
    <n v="99.98"/>
    <n v="85.984000000000009"/>
    <n v="34.393600000000006"/>
    <x v="2"/>
    <n v="6"/>
    <x v="0"/>
    <x v="1"/>
    <s v="Completed"/>
  </r>
  <r>
    <d v="2024-03-13T00:00:00"/>
    <s v="C002"/>
    <x v="1"/>
    <x v="0"/>
    <s v="Power Bank"/>
    <n v="1"/>
    <n v="35.99"/>
    <n v="0.05"/>
    <n v="1.7995000000000001"/>
    <n v="35.99"/>
    <n v="38.1905"/>
    <n v="15.276200000000001"/>
    <x v="2"/>
    <n v="4"/>
    <x v="1"/>
    <x v="1"/>
    <s v="Completed"/>
  </r>
  <r>
    <d v="2024-03-17T00:00:00"/>
    <s v="C014"/>
    <x v="13"/>
    <x v="1"/>
    <s v="Curtains"/>
    <n v="2"/>
    <n v="44.99"/>
    <n v="0.15"/>
    <n v="13.497"/>
    <n v="89.98"/>
    <n v="84.483000000000004"/>
    <n v="33.793200000000006"/>
    <x v="2"/>
    <n v="8"/>
    <x v="2"/>
    <x v="2"/>
    <s v="Completed"/>
  </r>
  <r>
    <d v="2024-03-20T00:00:00"/>
    <s v="C007"/>
    <x v="6"/>
    <x v="0"/>
    <s v="Mouse Pad"/>
    <n v="3"/>
    <n v="8.99"/>
    <n v="0"/>
    <n v="0"/>
    <n v="26.97"/>
    <n v="29.97"/>
    <n v="11.988"/>
    <x v="2"/>
    <n v="3"/>
    <x v="0"/>
    <x v="2"/>
    <s v="Completed"/>
  </r>
  <r>
    <d v="2024-03-24T00:00:00"/>
    <s v="C015"/>
    <x v="14"/>
    <x v="2"/>
    <s v="SQL Mastery"/>
    <n v="1"/>
    <n v="48"/>
    <n v="0"/>
    <n v="0"/>
    <n v="48"/>
    <n v="52"/>
    <n v="20.8"/>
    <x v="2"/>
    <n v="4"/>
    <x v="1"/>
    <x v="3"/>
    <s v="Completed"/>
  </r>
  <r>
    <d v="2024-03-27T00:00:00"/>
    <s v="C008"/>
    <x v="7"/>
    <x v="3"/>
    <s v="Summer Dress"/>
    <n v="1"/>
    <n v="69.989999999999995"/>
    <n v="0.2"/>
    <n v="13.997999999999999"/>
    <n v="69.989999999999995"/>
    <n v="61.991999999999997"/>
    <n v="24.796800000000001"/>
    <x v="2"/>
    <n v="6"/>
    <x v="2"/>
    <x v="3"/>
    <s v="Completed"/>
  </r>
  <r>
    <d v="2024-03-30T00:00:00"/>
    <s v="C004"/>
    <x v="3"/>
    <x v="0"/>
    <s v="Tablet Case"/>
    <n v="2"/>
    <n v="25.99"/>
    <n v="0.1"/>
    <n v="5.1980000000000004"/>
    <n v="51.98"/>
    <n v="51.781999999999996"/>
    <n v="20.712800000000001"/>
    <x v="2"/>
    <n v="5"/>
    <x v="0"/>
    <x v="3"/>
    <s v="Completed"/>
  </r>
  <r>
    <d v="2024-03-31T00:00:00"/>
    <s v="C016"/>
    <x v="15"/>
    <x v="1"/>
    <s v="Plant Pot Set"/>
    <n v="3"/>
    <n v="18.989999999999998"/>
    <n v="0"/>
    <n v="0"/>
    <n v="56.97"/>
    <n v="63.97"/>
    <n v="25.588000000000001"/>
    <x v="2"/>
    <n v="7"/>
    <x v="1"/>
    <x v="0"/>
    <s v="Completed"/>
  </r>
  <r>
    <d v="2024-03-31T00:00:00"/>
    <s v="C010"/>
    <x v="9"/>
    <x v="0"/>
    <s v="Screen Protector"/>
    <n v="5"/>
    <n v="6.99"/>
    <n v="0.05"/>
    <n v="1.7475000000000003"/>
    <n v="34.950000000000003"/>
    <n v="36.202500000000001"/>
    <n v="14.481000000000002"/>
    <x v="2"/>
    <n v="3"/>
    <x v="1"/>
    <x v="1"/>
    <s v="Completed"/>
  </r>
  <r>
    <d v="2024-03-31T00:00:00"/>
    <s v="C011"/>
    <x v="10"/>
    <x v="2"/>
    <s v="Business Intelligence"/>
    <n v="1"/>
    <n v="55"/>
    <n v="0"/>
    <n v="0"/>
    <n v="55"/>
    <n v="59"/>
    <n v="23.6"/>
    <x v="2"/>
    <n v="4"/>
    <x v="2"/>
    <x v="2"/>
    <s v="Cancelled"/>
  </r>
  <r>
    <d v="2024-03-31T00:00:00"/>
    <s v="C012"/>
    <x v="11"/>
    <x v="3"/>
    <s v="Scarf"/>
    <n v="2"/>
    <n v="29.99"/>
    <n v="0.1"/>
    <n v="5.9980000000000002"/>
    <n v="59.98"/>
    <n v="58.981999999999999"/>
    <n v="23.5928"/>
    <x v="2"/>
    <n v="5"/>
    <x v="0"/>
    <x v="3"/>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FFA456-A74A-4EC0-9860-E8D005378C1B}"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5:F36" firstHeaderRow="1" firstDataRow="1" firstDataCol="1"/>
  <pivotFields count="18">
    <pivotField numFmtId="165" showAll="0"/>
    <pivotField showAll="0"/>
    <pivotField axis="axisRow" showAll="0" measureFilter="1" sortType="descending">
      <items count="17">
        <item x="13"/>
        <item x="12"/>
        <item x="14"/>
        <item x="4"/>
        <item x="3"/>
        <item x="6"/>
        <item x="9"/>
        <item x="0"/>
        <item x="5"/>
        <item x="7"/>
        <item x="15"/>
        <item x="2"/>
        <item x="11"/>
        <item x="8"/>
        <item x="1"/>
        <item x="1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pivotField showAll="0">
      <items count="5">
        <item x="2"/>
        <item x="0"/>
        <item x="1"/>
        <item x="3"/>
        <item t="default"/>
      </items>
    </pivotField>
    <pivotField showAll="0"/>
    <pivotField dragToRow="0" dragToCol="0" dragToPage="0" showAll="0" defaultSubtotal="0"/>
  </pivotFields>
  <rowFields count="1">
    <field x="2"/>
  </rowFields>
  <rowItems count="11">
    <i>
      <x v="14"/>
    </i>
    <i>
      <x v="4"/>
    </i>
    <i>
      <x v="9"/>
    </i>
    <i>
      <x v="8"/>
    </i>
    <i>
      <x v="15"/>
    </i>
    <i>
      <x v="3"/>
    </i>
    <i>
      <x v="7"/>
    </i>
    <i>
      <x v="12"/>
    </i>
    <i>
      <x v="11"/>
    </i>
    <i>
      <x v="1"/>
    </i>
    <i t="grand">
      <x/>
    </i>
  </rowItems>
  <colItems count="1">
    <i/>
  </colItems>
  <dataFields count="1">
    <dataField name="Sum of Net_Revenue" fld="10" baseField="0" baseItem="0"/>
  </dataField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253BB-944D-42AF-B130-646308779704}"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K14:L18" firstHeaderRow="1" firstDataRow="1" firstDataCol="1"/>
  <pivotFields count="18">
    <pivotField numFmtId="165" showAll="0"/>
    <pivotField showAll="0"/>
    <pivotField showAll="0">
      <items count="17">
        <item x="13"/>
        <item x="12"/>
        <item x="14"/>
        <item x="4"/>
        <item x="3"/>
        <item x="6"/>
        <item x="9"/>
        <item x="0"/>
        <item x="5"/>
        <item x="7"/>
        <item x="15"/>
        <item x="2"/>
        <item x="11"/>
        <item x="8"/>
        <item x="1"/>
        <item x="10"/>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dragToRow="0" dragToCol="0" dragToPage="0" showAll="0" defaultSubtotal="0"/>
  </pivotFields>
  <rowFields count="1">
    <field x="14"/>
  </rowFields>
  <rowItems count="4">
    <i>
      <x v="1"/>
    </i>
    <i>
      <x v="2"/>
    </i>
    <i>
      <x/>
    </i>
    <i t="grand">
      <x/>
    </i>
  </rowItems>
  <colItems count="1">
    <i/>
  </colItems>
  <dataFields count="1">
    <dataField name="Average of Net_Revenue" fld="10" subtotal="average" baseField="14"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36812-6A44-4A08-90F4-79C186EB8359}"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4:L8" firstHeaderRow="1" firstDataRow="1" firstDataCol="1"/>
  <pivotFields count="18">
    <pivotField numFmtId="165" showAll="0"/>
    <pivotField showAll="0"/>
    <pivotField showAll="0">
      <items count="17">
        <item x="13"/>
        <item x="12"/>
        <item x="14"/>
        <item x="4"/>
        <item x="3"/>
        <item x="6"/>
        <item x="9"/>
        <item x="0"/>
        <item x="5"/>
        <item x="7"/>
        <item x="15"/>
        <item x="2"/>
        <item x="11"/>
        <item x="8"/>
        <item x="1"/>
        <item x="10"/>
        <item t="default"/>
      </items>
    </pivotField>
    <pivotField showAll="0"/>
    <pivotField showAll="0"/>
    <pivotField showAll="0"/>
    <pivotField showAll="0"/>
    <pivotField showAll="0"/>
    <pivotField showAll="0"/>
    <pivotField showAll="0"/>
    <pivotField dataField="1" showAll="0"/>
    <pivotField showAll="0"/>
    <pivotField axis="axisRow" showAll="0" sortType="ascending">
      <items count="4">
        <item x="0"/>
        <item x="1"/>
        <item x="2"/>
        <item t="default"/>
      </items>
    </pivotField>
    <pivotField showAll="0"/>
    <pivotField showAll="0"/>
    <pivotField showAll="0">
      <items count="5">
        <item x="2"/>
        <item x="0"/>
        <item x="1"/>
        <item x="3"/>
        <item t="default"/>
      </items>
    </pivotField>
    <pivotField showAll="0"/>
    <pivotField dragToRow="0" dragToCol="0" dragToPage="0" showAll="0" defaultSubtotal="0"/>
  </pivotFields>
  <rowFields count="1">
    <field x="12"/>
  </rowFields>
  <rowItems count="4">
    <i>
      <x/>
    </i>
    <i>
      <x v="1"/>
    </i>
    <i>
      <x v="2"/>
    </i>
    <i t="grand">
      <x/>
    </i>
  </rowItems>
  <colItems count="1">
    <i/>
  </colItems>
  <dataFields count="1">
    <dataField name="Sum of Net_Revenue" fld="1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ABD530-1ABC-4025-9ED8-9847B2A7ABA6}"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13:D18" firstHeaderRow="1" firstDataRow="1" firstDataCol="1"/>
  <pivotFields count="18">
    <pivotField numFmtId="165" showAll="0"/>
    <pivotField showAll="0"/>
    <pivotField showAll="0">
      <items count="17">
        <item x="13"/>
        <item x="12"/>
        <item x="14"/>
        <item x="4"/>
        <item x="3"/>
        <item x="6"/>
        <item x="9"/>
        <item x="0"/>
        <item x="5"/>
        <item x="7"/>
        <item x="15"/>
        <item x="2"/>
        <item x="11"/>
        <item x="8"/>
        <item x="1"/>
        <item x="1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15"/>
  </rowFields>
  <rowItems count="5">
    <i>
      <x v="3"/>
    </i>
    <i>
      <x v="2"/>
    </i>
    <i>
      <x/>
    </i>
    <i>
      <x v="1"/>
    </i>
    <i t="grand">
      <x/>
    </i>
  </rowItems>
  <colItems count="1">
    <i/>
  </colItems>
  <dataFields count="1">
    <dataField name="Sum of Net_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2B8D95-50E0-49B0-B3FF-A0FBF23139B6}"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2:D7" firstHeaderRow="1" firstDataRow="1" firstDataCol="1"/>
  <pivotFields count="18">
    <pivotField numFmtId="165" showAll="0"/>
    <pivotField showAll="0"/>
    <pivotField showAll="0">
      <items count="17">
        <item x="13"/>
        <item x="12"/>
        <item x="14"/>
        <item x="4"/>
        <item x="3"/>
        <item x="6"/>
        <item x="9"/>
        <item x="0"/>
        <item x="5"/>
        <item x="7"/>
        <item x="15"/>
        <item x="2"/>
        <item x="11"/>
        <item x="8"/>
        <item x="1"/>
        <item x="10"/>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2"/>
        <item x="0"/>
        <item x="1"/>
        <item x="3"/>
        <item t="default"/>
      </items>
    </pivotField>
    <pivotField showAll="0"/>
    <pivotField dragToRow="0" dragToCol="0" dragToPage="0" showAll="0" defaultSubtotal="0"/>
  </pivotFields>
  <rowFields count="1">
    <field x="3"/>
  </rowFields>
  <rowItems count="5">
    <i>
      <x v="1"/>
    </i>
    <i>
      <x v="3"/>
    </i>
    <i>
      <x/>
    </i>
    <i>
      <x v="2"/>
    </i>
    <i t="grand">
      <x/>
    </i>
  </rowItems>
  <colItems count="1">
    <i/>
  </colItems>
  <dataFields count="1">
    <dataField name="Average of Net_Revenue" fld="10" subtotal="average" baseField="3"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F8F3F-7B6F-4B4B-AD79-095C5CCB65B5}" name="PivotTable9"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0:D24" firstHeaderRow="1" firstDataRow="1" firstDataCol="1"/>
  <pivotFields count="18">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ragToRow="0" dragToCol="0" dragToPage="0" showAll="0" defaultSubtotal="0"/>
  </pivotFields>
  <rowFields count="1">
    <field x="1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404EF2-F893-4690-817F-4143E5872CA7}" name="PivotTable8"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0:C37" firstHeaderRow="1" firstDataRow="1" firstDataCol="1"/>
  <pivotFields count="18">
    <pivotField dataField="1" numFmtId="165" showAll="0"/>
    <pivotField showAll="0"/>
    <pivotField axis="axisRow" showAll="0" sortType="descending">
      <items count="17">
        <item x="13"/>
        <item x="12"/>
        <item x="14"/>
        <item x="4"/>
        <item x="3"/>
        <item x="6"/>
        <item x="9"/>
        <item x="0"/>
        <item x="5"/>
        <item x="7"/>
        <item x="15"/>
        <item x="2"/>
        <item x="11"/>
        <item x="8"/>
        <item x="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17">
    <i>
      <x v="4"/>
    </i>
    <i>
      <x v="14"/>
    </i>
    <i>
      <x v="7"/>
    </i>
    <i>
      <x v="15"/>
    </i>
    <i>
      <x v="11"/>
    </i>
    <i>
      <x v="3"/>
    </i>
    <i>
      <x v="5"/>
    </i>
    <i>
      <x v="12"/>
    </i>
    <i>
      <x v="6"/>
    </i>
    <i>
      <x v="8"/>
    </i>
    <i>
      <x v="9"/>
    </i>
    <i>
      <x v="2"/>
    </i>
    <i>
      <x v="1"/>
    </i>
    <i>
      <x v="10"/>
    </i>
    <i>
      <x/>
    </i>
    <i>
      <x v="13"/>
    </i>
    <i t="grand">
      <x/>
    </i>
  </rowItems>
  <colItems count="1">
    <i/>
  </colItems>
  <dataFields count="1">
    <dataField name="Count of Order_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B9781-33F1-4042-98B2-C91D6EFCB79D}" name="PivotTable7"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1:I16" firstHeaderRow="1" firstDataRow="1" firstDataCol="1"/>
  <pivotFields count="18">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0"/>
        <item x="1"/>
        <item x="3"/>
        <item t="default"/>
      </items>
    </pivotField>
    <pivotField showAll="0"/>
    <pivotField dragToRow="0" dragToCol="0" dragToPage="0" showAll="0" defaultSubtotal="0"/>
  </pivotFields>
  <rowFields count="1">
    <field x="15"/>
  </rowFields>
  <rowItems count="5">
    <i>
      <x/>
    </i>
    <i>
      <x v="1"/>
    </i>
    <i>
      <x v="2"/>
    </i>
    <i>
      <x v="3"/>
    </i>
    <i t="grand">
      <x/>
    </i>
  </rowItems>
  <colItems count="1">
    <i/>
  </colItems>
  <dataFields count="1">
    <dataField name="Average of Shipping_Cost" fld="13"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4D747-D403-4A27-AA0C-EFE1FE1D593E}" name="PivotTable6"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8:D13" firstHeaderRow="0" firstDataRow="1" firstDataCol="1"/>
  <pivotFields count="18">
    <pivotField numFmtId="165"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2"/>
        <item x="0"/>
        <item x="1"/>
        <item x="3"/>
        <item t="default"/>
      </items>
    </pivotField>
    <pivotField showAll="0"/>
    <pivotField dataField="1" dragToRow="0" dragToCol="0" dragToPage="0" showAll="0" defaultSubtotal="0"/>
  </pivotFields>
  <rowFields count="1">
    <field x="3"/>
  </rowFields>
  <rowItems count="5">
    <i>
      <x v="2"/>
    </i>
    <i>
      <x v="1"/>
    </i>
    <i>
      <x v="3"/>
    </i>
    <i>
      <x/>
    </i>
    <i t="grand">
      <x/>
    </i>
  </rowItems>
  <colFields count="1">
    <field x="-2"/>
  </colFields>
  <colItems count="2">
    <i>
      <x/>
    </i>
    <i i="1">
      <x v="1"/>
    </i>
  </colItems>
  <dataFields count="2">
    <dataField name="Sum of Net_Revenue" fld="10" baseField="0" baseItem="0"/>
    <dataField name="Max of Avg_order_value" fld="17" subtotal="max" baseField="3"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D269DAE-3FD8-4224-946C-ECB98B78F968}" sourceName="Product_Category">
  <pivotTables>
    <pivotTable tabId="2" name="PivotTable5"/>
  </pivotTables>
  <data>
    <tabular pivotCacheId="112203092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FCC314-A7D1-4DCA-83BE-B4CFA2B889A3}" sourceName="Month">
  <pivotTables>
    <pivotTable tabId="2" name="PivotTable5"/>
  </pivotTables>
  <data>
    <tabular pivotCacheId="112203092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4BEF5C-5EB0-4EB3-8036-0454F795CC4F}" sourceName="Region">
  <pivotTables>
    <pivotTable tabId="2" name="PivotTable5"/>
    <pivotTable tabId="2" name="PivotTable1"/>
    <pivotTable tabId="2" name="PivotTable2"/>
    <pivotTable tabId="2" name="PivotTable3"/>
    <pivotTable tabId="2" name="PivotTable4"/>
    <pivotTable tabId="3" name="PivotTable6"/>
  </pivotTables>
  <data>
    <tabular pivotCacheId="112203092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1128A9D0-F8FB-41C7-B4DB-8E895992BCB8}" cache="Slicer_Product_Category" caption="Product_Category" rowHeight="234950"/>
  <slicer name="Month" xr10:uid="{82EF57EE-E413-4699-B4AE-4420268318D6}" cache="Slicer_Month" caption="Month" rowHeight="234950"/>
  <slicer name="Region" xr10:uid="{93293F12-8FE4-4E00-933B-38179F65C57F}"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0D8847-DD41-49E6-8DE2-FCEB361A5B0B}" name="Table1" displayName="Table1" ref="A1:Q31" totalsRowShown="0" headerRowDxfId="5" headerRowBorderDxfId="7" tableBorderDxfId="8">
  <autoFilter ref="A1:Q31" xr:uid="{126EB586-C7B6-48E2-A3C7-036F93BCAE77}">
    <filterColumn colId="16">
      <filters>
        <filter val="Completed"/>
      </filters>
    </filterColumn>
  </autoFilter>
  <tableColumns count="17">
    <tableColumn id="1" xr3:uid="{D2CAFC61-1171-42B8-AB53-111214077A1F}" name="Order_Date" dataDxfId="6"/>
    <tableColumn id="2" xr3:uid="{8A6F1794-05DF-4728-A3F2-12F81937A003}" name="Customer_ID"/>
    <tableColumn id="3" xr3:uid="{EC28632B-B34E-4A7F-9A9C-BC1935CE0FB0}" name="Customer_Name"/>
    <tableColumn id="4" xr3:uid="{7E42B68A-7FCC-4848-B9FD-8897DA60A972}" name="Product_Category"/>
    <tableColumn id="5" xr3:uid="{40BCC25A-4853-474F-8A04-15C1816093A3}" name="Product_Name"/>
    <tableColumn id="6" xr3:uid="{D869EC64-44CB-4A00-A744-323C915D36DA}" name="Quantity"/>
    <tableColumn id="7" xr3:uid="{D6FAA904-0481-4F0E-850A-8BD45814E468}" name="Unit_Price"/>
    <tableColumn id="8" xr3:uid="{9E3D989D-307C-4D32-9C60-74A5F874A13F}" name="Discount"/>
    <tableColumn id="17" xr3:uid="{D15259A8-C961-45E1-BF9F-8AC8A2C6E9C9}" name="Discount_Amount" dataDxfId="2">
      <calculatedColumnFormula>Table1[[#This Row],[Gross_Revenue]]*Table1[[#This Row],[Discount]]</calculatedColumnFormula>
    </tableColumn>
    <tableColumn id="13" xr3:uid="{86847DDF-9AC2-4036-913C-2029B8722ED9}" name="Gross_Revenue" dataDxfId="3">
      <calculatedColumnFormula>Table1[[#This Row],[Unit_Price]] *Table1[[#This Row],[Quantity]]</calculatedColumnFormula>
    </tableColumn>
    <tableColumn id="19" xr3:uid="{5448A90B-762E-43CB-BA45-AAD021024ED7}" name="Net_Revenue" dataDxfId="1">
      <calculatedColumnFormula>Table1[[#This Row],[Gross_Revenue]]-Table1[[#This Row],[Discount_Amount]]+Table1[[#This Row],[Shipping_Cost]]</calculatedColumnFormula>
    </tableColumn>
    <tableColumn id="14" xr3:uid="{8C5DDD4F-ADC4-469B-A602-24ACC57A616C}" name="Profit" dataDxfId="0">
      <calculatedColumnFormula>Table1[[#This Row],[Net_Revenue]]*0.4</calculatedColumnFormula>
    </tableColumn>
    <tableColumn id="15" xr3:uid="{D2BEA736-8554-49EF-8C85-688573EA3481}" name="Month" dataDxfId="4">
      <calculatedColumnFormula>MONTH(Table1[[#This Row],[Order_Date]])</calculatedColumnFormula>
    </tableColumn>
    <tableColumn id="9" xr3:uid="{458D82C6-2FE0-4361-BB79-EF6E00DF309C}" name="Shipping_Cost"/>
    <tableColumn id="10" xr3:uid="{E0C7ECF1-F428-4B28-817D-59653BE5AF1B}" name="Payment_Method"/>
    <tableColumn id="11" xr3:uid="{E4AC573A-BA3B-4166-8EBF-4C80FA6C90BA}" name="Region"/>
    <tableColumn id="12" xr3:uid="{5AED159F-08C0-49A3-A4F9-AB004C3EAC25}"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
  <sheetViews>
    <sheetView zoomScale="85" zoomScaleNormal="85" workbookViewId="0">
      <selection activeCell="D1" sqref="D1"/>
    </sheetView>
  </sheetViews>
  <sheetFormatPr defaultRowHeight="14.4" x14ac:dyDescent="0.3"/>
  <cols>
    <col min="1" max="1" width="19.77734375" customWidth="1"/>
    <col min="2" max="2" width="13.77734375" customWidth="1"/>
    <col min="3" max="3" width="17" customWidth="1"/>
    <col min="4" max="4" width="18.109375" customWidth="1"/>
    <col min="5" max="5" width="15.5546875" customWidth="1"/>
    <col min="6" max="6" width="10.21875" customWidth="1"/>
    <col min="7" max="7" width="11.5546875" customWidth="1"/>
    <col min="8" max="13" width="10.21875" customWidth="1"/>
    <col min="14" max="14" width="14.88671875" customWidth="1"/>
    <col min="15" max="15" width="18.21875" customWidth="1"/>
    <col min="17" max="17" width="13.5546875" customWidth="1"/>
  </cols>
  <sheetData>
    <row r="1" spans="1:17" x14ac:dyDescent="0.3">
      <c r="A1" s="2" t="s">
        <v>0</v>
      </c>
      <c r="B1" s="2" t="s">
        <v>1</v>
      </c>
      <c r="C1" s="2" t="s">
        <v>2</v>
      </c>
      <c r="D1" s="2" t="s">
        <v>3</v>
      </c>
      <c r="E1" s="2" t="s">
        <v>4</v>
      </c>
      <c r="F1" s="2" t="s">
        <v>5</v>
      </c>
      <c r="G1" s="2" t="s">
        <v>6</v>
      </c>
      <c r="H1" s="2" t="s">
        <v>7</v>
      </c>
      <c r="I1" s="3" t="s">
        <v>90</v>
      </c>
      <c r="J1" s="3" t="s">
        <v>89</v>
      </c>
      <c r="K1" s="3" t="s">
        <v>91</v>
      </c>
      <c r="L1" s="3" t="s">
        <v>87</v>
      </c>
      <c r="M1" s="3" t="s">
        <v>88</v>
      </c>
      <c r="N1" s="2" t="s">
        <v>8</v>
      </c>
      <c r="O1" s="2" t="s">
        <v>9</v>
      </c>
      <c r="P1" s="2" t="s">
        <v>10</v>
      </c>
      <c r="Q1" s="2" t="s">
        <v>11</v>
      </c>
    </row>
    <row r="2" spans="1:17" x14ac:dyDescent="0.3">
      <c r="A2" s="1">
        <v>45296</v>
      </c>
      <c r="B2" t="s">
        <v>12</v>
      </c>
      <c r="C2" t="s">
        <v>13</v>
      </c>
      <c r="D2" t="s">
        <v>14</v>
      </c>
      <c r="E2" t="s">
        <v>15</v>
      </c>
      <c r="F2">
        <v>2</v>
      </c>
      <c r="G2">
        <v>29.99</v>
      </c>
      <c r="H2">
        <v>0.1</v>
      </c>
      <c r="I2">
        <f>Table1[[#This Row],[Gross_Revenue]]*Table1[[#This Row],[Discount]]</f>
        <v>5.9980000000000002</v>
      </c>
      <c r="J2">
        <f>Table1[[#This Row],[Unit_Price]] *Table1[[#This Row],[Quantity]]</f>
        <v>59.98</v>
      </c>
      <c r="K2">
        <f>Table1[[#This Row],[Gross_Revenue]]-Table1[[#This Row],[Discount_Amount]]+Table1[[#This Row],[Shipping_Cost]]</f>
        <v>58.981999999999999</v>
      </c>
      <c r="L2">
        <f>Table1[[#This Row],[Net_Revenue]]*0.4</f>
        <v>23.5928</v>
      </c>
      <c r="M2">
        <f>MONTH(Table1[[#This Row],[Order_Date]])</f>
        <v>1</v>
      </c>
      <c r="N2">
        <v>5</v>
      </c>
      <c r="O2" t="s">
        <v>16</v>
      </c>
      <c r="P2" t="s">
        <v>17</v>
      </c>
      <c r="Q2" t="s">
        <v>18</v>
      </c>
    </row>
    <row r="3" spans="1:17" x14ac:dyDescent="0.3">
      <c r="A3" s="1">
        <v>45299</v>
      </c>
      <c r="B3" t="s">
        <v>19</v>
      </c>
      <c r="C3" t="s">
        <v>20</v>
      </c>
      <c r="D3" t="s">
        <v>21</v>
      </c>
      <c r="E3" t="s">
        <v>22</v>
      </c>
      <c r="F3">
        <v>1</v>
      </c>
      <c r="G3">
        <v>89.5</v>
      </c>
      <c r="H3">
        <v>0</v>
      </c>
      <c r="I3">
        <f>Table1[[#This Row],[Gross_Revenue]]*Table1[[#This Row],[Discount]]</f>
        <v>0</v>
      </c>
      <c r="J3">
        <f>Table1[[#This Row],[Unit_Price]] *Table1[[#This Row],[Quantity]]</f>
        <v>89.5</v>
      </c>
      <c r="K3">
        <f>Table1[[#This Row],[Gross_Revenue]]-Table1[[#This Row],[Discount_Amount]]+Table1[[#This Row],[Shipping_Cost]]</f>
        <v>101.5</v>
      </c>
      <c r="L3">
        <f>Table1[[#This Row],[Net_Revenue]]*0.4</f>
        <v>40.6</v>
      </c>
      <c r="M3">
        <f>MONTH(Table1[[#This Row],[Order_Date]])</f>
        <v>1</v>
      </c>
      <c r="N3">
        <v>12</v>
      </c>
      <c r="O3" t="s">
        <v>23</v>
      </c>
      <c r="P3" t="s">
        <v>24</v>
      </c>
      <c r="Q3" t="s">
        <v>18</v>
      </c>
    </row>
    <row r="4" spans="1:17" x14ac:dyDescent="0.3">
      <c r="A4" s="1">
        <v>45303</v>
      </c>
      <c r="B4" t="s">
        <v>25</v>
      </c>
      <c r="C4" t="s">
        <v>26</v>
      </c>
      <c r="D4" t="s">
        <v>14</v>
      </c>
      <c r="E4" t="s">
        <v>27</v>
      </c>
      <c r="F4">
        <v>5</v>
      </c>
      <c r="G4">
        <v>9.99</v>
      </c>
      <c r="H4">
        <v>0.05</v>
      </c>
      <c r="I4">
        <f>Table1[[#This Row],[Gross_Revenue]]*Table1[[#This Row],[Discount]]</f>
        <v>2.4975000000000005</v>
      </c>
      <c r="J4">
        <f>Table1[[#This Row],[Unit_Price]] *Table1[[#This Row],[Quantity]]</f>
        <v>49.95</v>
      </c>
      <c r="K4">
        <f>Table1[[#This Row],[Gross_Revenue]]-Table1[[#This Row],[Discount_Amount]]+Table1[[#This Row],[Shipping_Cost]]</f>
        <v>50.452500000000001</v>
      </c>
      <c r="L4">
        <f>Table1[[#This Row],[Net_Revenue]]*0.4</f>
        <v>20.181000000000001</v>
      </c>
      <c r="M4">
        <f>MONTH(Table1[[#This Row],[Order_Date]])</f>
        <v>1</v>
      </c>
      <c r="N4">
        <v>3</v>
      </c>
      <c r="O4" t="s">
        <v>28</v>
      </c>
      <c r="P4" t="s">
        <v>29</v>
      </c>
      <c r="Q4" t="s">
        <v>18</v>
      </c>
    </row>
    <row r="5" spans="1:17" x14ac:dyDescent="0.3">
      <c r="A5" s="1">
        <v>45306</v>
      </c>
      <c r="B5" t="s">
        <v>12</v>
      </c>
      <c r="C5" t="s">
        <v>13</v>
      </c>
      <c r="D5" t="s">
        <v>30</v>
      </c>
      <c r="E5" t="s">
        <v>31</v>
      </c>
      <c r="F5">
        <v>1</v>
      </c>
      <c r="G5">
        <v>45</v>
      </c>
      <c r="H5">
        <v>0</v>
      </c>
      <c r="I5">
        <f>Table1[[#This Row],[Gross_Revenue]]*Table1[[#This Row],[Discount]]</f>
        <v>0</v>
      </c>
      <c r="J5">
        <f>Table1[[#This Row],[Unit_Price]] *Table1[[#This Row],[Quantity]]</f>
        <v>45</v>
      </c>
      <c r="K5">
        <f>Table1[[#This Row],[Gross_Revenue]]-Table1[[#This Row],[Discount_Amount]]+Table1[[#This Row],[Shipping_Cost]]</f>
        <v>49</v>
      </c>
      <c r="L5">
        <f>Table1[[#This Row],[Net_Revenue]]*0.4</f>
        <v>19.600000000000001</v>
      </c>
      <c r="M5">
        <f>MONTH(Table1[[#This Row],[Order_Date]])</f>
        <v>1</v>
      </c>
      <c r="N5">
        <v>4</v>
      </c>
      <c r="O5" t="s">
        <v>16</v>
      </c>
      <c r="P5" t="s">
        <v>17</v>
      </c>
      <c r="Q5" t="s">
        <v>18</v>
      </c>
    </row>
    <row r="6" spans="1:17" x14ac:dyDescent="0.3">
      <c r="A6" s="1">
        <v>45309</v>
      </c>
      <c r="B6" t="s">
        <v>32</v>
      </c>
      <c r="C6" t="s">
        <v>33</v>
      </c>
      <c r="D6" t="s">
        <v>34</v>
      </c>
      <c r="E6" t="s">
        <v>35</v>
      </c>
      <c r="F6">
        <v>3</v>
      </c>
      <c r="G6">
        <v>19.989999999999998</v>
      </c>
      <c r="H6">
        <v>0.15</v>
      </c>
      <c r="I6">
        <f>Table1[[#This Row],[Gross_Revenue]]*Table1[[#This Row],[Discount]]</f>
        <v>8.9954999999999998</v>
      </c>
      <c r="J6">
        <f>Table1[[#This Row],[Unit_Price]] *Table1[[#This Row],[Quantity]]</f>
        <v>59.97</v>
      </c>
      <c r="K6">
        <f>Table1[[#This Row],[Gross_Revenue]]-Table1[[#This Row],[Discount_Amount]]+Table1[[#This Row],[Shipping_Cost]]</f>
        <v>56.974499999999999</v>
      </c>
      <c r="L6">
        <f>Table1[[#This Row],[Net_Revenue]]*0.4</f>
        <v>22.7898</v>
      </c>
      <c r="M6">
        <f>MONTH(Table1[[#This Row],[Order_Date]])</f>
        <v>1</v>
      </c>
      <c r="N6">
        <v>6</v>
      </c>
      <c r="O6" t="s">
        <v>16</v>
      </c>
      <c r="P6" t="s">
        <v>36</v>
      </c>
      <c r="Q6" t="s">
        <v>18</v>
      </c>
    </row>
    <row r="7" spans="1:17" x14ac:dyDescent="0.3">
      <c r="A7" s="1">
        <v>45313</v>
      </c>
      <c r="B7" t="s">
        <v>37</v>
      </c>
      <c r="C7" t="s">
        <v>38</v>
      </c>
      <c r="D7" t="s">
        <v>14</v>
      </c>
      <c r="E7" t="s">
        <v>39</v>
      </c>
      <c r="F7">
        <v>1</v>
      </c>
      <c r="G7">
        <v>79.989999999999995</v>
      </c>
      <c r="H7">
        <v>0.1</v>
      </c>
      <c r="I7">
        <f>Table1[[#This Row],[Gross_Revenue]]*Table1[[#This Row],[Discount]]</f>
        <v>7.9989999999999997</v>
      </c>
      <c r="J7">
        <f>Table1[[#This Row],[Unit_Price]] *Table1[[#This Row],[Quantity]]</f>
        <v>79.989999999999995</v>
      </c>
      <c r="K7">
        <f>Table1[[#This Row],[Gross_Revenue]]-Table1[[#This Row],[Discount_Amount]]+Table1[[#This Row],[Shipping_Cost]]</f>
        <v>71.991</v>
      </c>
      <c r="L7">
        <f>Table1[[#This Row],[Net_Revenue]]*0.4</f>
        <v>28.796400000000002</v>
      </c>
      <c r="M7">
        <f>MONTH(Table1[[#This Row],[Order_Date]])</f>
        <v>1</v>
      </c>
      <c r="N7">
        <v>0</v>
      </c>
      <c r="O7" t="s">
        <v>23</v>
      </c>
      <c r="P7" t="s">
        <v>17</v>
      </c>
      <c r="Q7" t="s">
        <v>18</v>
      </c>
    </row>
    <row r="8" spans="1:17" x14ac:dyDescent="0.3">
      <c r="A8" s="1">
        <v>45316</v>
      </c>
      <c r="B8" t="s">
        <v>40</v>
      </c>
      <c r="C8" t="s">
        <v>41</v>
      </c>
      <c r="D8" t="s">
        <v>21</v>
      </c>
      <c r="E8" t="s">
        <v>42</v>
      </c>
      <c r="F8">
        <v>2</v>
      </c>
      <c r="G8">
        <v>59.99</v>
      </c>
      <c r="H8">
        <v>0.2</v>
      </c>
      <c r="I8">
        <f>Table1[[#This Row],[Gross_Revenue]]*Table1[[#This Row],[Discount]]</f>
        <v>23.996000000000002</v>
      </c>
      <c r="J8">
        <f>Table1[[#This Row],[Unit_Price]] *Table1[[#This Row],[Quantity]]</f>
        <v>119.98</v>
      </c>
      <c r="K8">
        <f>Table1[[#This Row],[Gross_Revenue]]-Table1[[#This Row],[Discount_Amount]]+Table1[[#This Row],[Shipping_Cost]]</f>
        <v>103.98400000000001</v>
      </c>
      <c r="L8">
        <f>Table1[[#This Row],[Net_Revenue]]*0.4</f>
        <v>41.593600000000009</v>
      </c>
      <c r="M8">
        <f>MONTH(Table1[[#This Row],[Order_Date]])</f>
        <v>1</v>
      </c>
      <c r="N8">
        <v>8</v>
      </c>
      <c r="O8" t="s">
        <v>28</v>
      </c>
      <c r="P8" t="s">
        <v>24</v>
      </c>
      <c r="Q8" t="s">
        <v>18</v>
      </c>
    </row>
    <row r="9" spans="1:17" x14ac:dyDescent="0.3">
      <c r="A9" s="1">
        <v>45319</v>
      </c>
      <c r="B9" t="s">
        <v>19</v>
      </c>
      <c r="C9" t="s">
        <v>20</v>
      </c>
      <c r="D9" t="s">
        <v>14</v>
      </c>
      <c r="E9" t="s">
        <v>43</v>
      </c>
      <c r="F9">
        <v>3</v>
      </c>
      <c r="G9">
        <v>15.99</v>
      </c>
      <c r="H9">
        <v>0</v>
      </c>
      <c r="I9">
        <f>Table1[[#This Row],[Gross_Revenue]]*Table1[[#This Row],[Discount]]</f>
        <v>0</v>
      </c>
      <c r="J9">
        <f>Table1[[#This Row],[Unit_Price]] *Table1[[#This Row],[Quantity]]</f>
        <v>47.97</v>
      </c>
      <c r="K9">
        <f>Table1[[#This Row],[Gross_Revenue]]-Table1[[#This Row],[Discount_Amount]]+Table1[[#This Row],[Shipping_Cost]]</f>
        <v>50.97</v>
      </c>
      <c r="L9">
        <f>Table1[[#This Row],[Net_Revenue]]*0.4</f>
        <v>20.388000000000002</v>
      </c>
      <c r="M9">
        <f>MONTH(Table1[[#This Row],[Order_Date]])</f>
        <v>1</v>
      </c>
      <c r="N9">
        <v>3</v>
      </c>
      <c r="O9" t="s">
        <v>23</v>
      </c>
      <c r="P9" t="s">
        <v>24</v>
      </c>
      <c r="Q9" t="s">
        <v>18</v>
      </c>
    </row>
    <row r="10" spans="1:17" x14ac:dyDescent="0.3">
      <c r="A10" s="1">
        <v>45324</v>
      </c>
      <c r="B10" t="s">
        <v>44</v>
      </c>
      <c r="C10" t="s">
        <v>45</v>
      </c>
      <c r="D10" t="s">
        <v>30</v>
      </c>
      <c r="E10" t="s">
        <v>46</v>
      </c>
      <c r="F10">
        <v>1</v>
      </c>
      <c r="G10">
        <v>52</v>
      </c>
      <c r="H10">
        <v>0</v>
      </c>
      <c r="I10">
        <f>Table1[[#This Row],[Gross_Revenue]]*Table1[[#This Row],[Discount]]</f>
        <v>0</v>
      </c>
      <c r="J10">
        <f>Table1[[#This Row],[Unit_Price]] *Table1[[#This Row],[Quantity]]</f>
        <v>52</v>
      </c>
      <c r="K10">
        <f>Table1[[#This Row],[Gross_Revenue]]-Table1[[#This Row],[Discount_Amount]]+Table1[[#This Row],[Shipping_Cost]]</f>
        <v>56</v>
      </c>
      <c r="L10">
        <f>Table1[[#This Row],[Net_Revenue]]*0.4</f>
        <v>22.400000000000002</v>
      </c>
      <c r="M10">
        <f>MONTH(Table1[[#This Row],[Order_Date]])</f>
        <v>2</v>
      </c>
      <c r="N10">
        <v>4</v>
      </c>
      <c r="O10" t="s">
        <v>16</v>
      </c>
      <c r="P10" t="s">
        <v>29</v>
      </c>
      <c r="Q10" t="s">
        <v>18</v>
      </c>
    </row>
    <row r="11" spans="1:17" x14ac:dyDescent="0.3">
      <c r="A11" s="1">
        <v>45327</v>
      </c>
      <c r="B11" t="s">
        <v>47</v>
      </c>
      <c r="C11" t="s">
        <v>48</v>
      </c>
      <c r="D11" t="s">
        <v>34</v>
      </c>
      <c r="E11" t="s">
        <v>49</v>
      </c>
      <c r="F11">
        <v>1</v>
      </c>
      <c r="G11">
        <v>129.99</v>
      </c>
      <c r="H11">
        <v>0.25</v>
      </c>
      <c r="I11">
        <f>Table1[[#This Row],[Gross_Revenue]]*Table1[[#This Row],[Discount]]</f>
        <v>32.497500000000002</v>
      </c>
      <c r="J11">
        <f>Table1[[#This Row],[Unit_Price]] *Table1[[#This Row],[Quantity]]</f>
        <v>129.99</v>
      </c>
      <c r="K11">
        <f>Table1[[#This Row],[Gross_Revenue]]-Table1[[#This Row],[Discount_Amount]]+Table1[[#This Row],[Shipping_Cost]]</f>
        <v>97.492500000000007</v>
      </c>
      <c r="L11">
        <f>Table1[[#This Row],[Net_Revenue]]*0.4</f>
        <v>38.997000000000007</v>
      </c>
      <c r="M11">
        <f>MONTH(Table1[[#This Row],[Order_Date]])</f>
        <v>2</v>
      </c>
      <c r="N11">
        <v>0</v>
      </c>
      <c r="O11" t="s">
        <v>28</v>
      </c>
      <c r="P11" t="s">
        <v>36</v>
      </c>
      <c r="Q11" t="s">
        <v>18</v>
      </c>
    </row>
    <row r="12" spans="1:17" x14ac:dyDescent="0.3">
      <c r="A12" s="1">
        <v>45330</v>
      </c>
      <c r="B12" t="s">
        <v>25</v>
      </c>
      <c r="C12" t="s">
        <v>26</v>
      </c>
      <c r="D12" t="s">
        <v>14</v>
      </c>
      <c r="E12" t="s">
        <v>50</v>
      </c>
      <c r="F12">
        <v>1</v>
      </c>
      <c r="G12">
        <v>39.99</v>
      </c>
      <c r="H12">
        <v>0</v>
      </c>
      <c r="I12">
        <f>Table1[[#This Row],[Gross_Revenue]]*Table1[[#This Row],[Discount]]</f>
        <v>0</v>
      </c>
      <c r="J12">
        <f>Table1[[#This Row],[Unit_Price]] *Table1[[#This Row],[Quantity]]</f>
        <v>39.99</v>
      </c>
      <c r="K12">
        <f>Table1[[#This Row],[Gross_Revenue]]-Table1[[#This Row],[Discount_Amount]]+Table1[[#This Row],[Shipping_Cost]]</f>
        <v>44.99</v>
      </c>
      <c r="L12">
        <f>Table1[[#This Row],[Net_Revenue]]*0.4</f>
        <v>17.996000000000002</v>
      </c>
      <c r="M12">
        <f>MONTH(Table1[[#This Row],[Order_Date]])</f>
        <v>2</v>
      </c>
      <c r="N12">
        <v>5</v>
      </c>
      <c r="O12" t="s">
        <v>28</v>
      </c>
      <c r="P12" t="s">
        <v>29</v>
      </c>
      <c r="Q12" t="s">
        <v>18</v>
      </c>
    </row>
    <row r="13" spans="1:17" x14ac:dyDescent="0.3">
      <c r="A13" s="1">
        <v>45334</v>
      </c>
      <c r="B13" t="s">
        <v>51</v>
      </c>
      <c r="C13" t="s">
        <v>52</v>
      </c>
      <c r="D13" t="s">
        <v>21</v>
      </c>
      <c r="E13" t="s">
        <v>53</v>
      </c>
      <c r="F13">
        <v>2</v>
      </c>
      <c r="G13">
        <v>24.99</v>
      </c>
      <c r="H13">
        <v>0.1</v>
      </c>
      <c r="I13">
        <f>Table1[[#This Row],[Gross_Revenue]]*Table1[[#This Row],[Discount]]</f>
        <v>4.9980000000000002</v>
      </c>
      <c r="J13">
        <f>Table1[[#This Row],[Unit_Price]] *Table1[[#This Row],[Quantity]]</f>
        <v>49.98</v>
      </c>
      <c r="K13">
        <f>Table1[[#This Row],[Gross_Revenue]]-Table1[[#This Row],[Discount_Amount]]+Table1[[#This Row],[Shipping_Cost]]</f>
        <v>50.981999999999999</v>
      </c>
      <c r="L13">
        <f>Table1[[#This Row],[Net_Revenue]]*0.4</f>
        <v>20.392800000000001</v>
      </c>
      <c r="M13">
        <f>MONTH(Table1[[#This Row],[Order_Date]])</f>
        <v>2</v>
      </c>
      <c r="N13">
        <v>6</v>
      </c>
      <c r="O13" t="s">
        <v>23</v>
      </c>
      <c r="P13" t="s">
        <v>17</v>
      </c>
      <c r="Q13" t="s">
        <v>18</v>
      </c>
    </row>
    <row r="14" spans="1:17" hidden="1" x14ac:dyDescent="0.3">
      <c r="A14" s="1">
        <v>45337</v>
      </c>
      <c r="B14" t="s">
        <v>32</v>
      </c>
      <c r="C14" t="s">
        <v>33</v>
      </c>
      <c r="D14" t="s">
        <v>14</v>
      </c>
      <c r="E14" t="s">
        <v>54</v>
      </c>
      <c r="F14">
        <v>1</v>
      </c>
      <c r="G14">
        <v>49.99</v>
      </c>
      <c r="H14">
        <v>0.05</v>
      </c>
      <c r="I14">
        <f>Table1[[#This Row],[Gross_Revenue]]*Table1[[#This Row],[Discount]]</f>
        <v>2.4995000000000003</v>
      </c>
      <c r="J14">
        <f>Table1[[#This Row],[Unit_Price]] *Table1[[#This Row],[Quantity]]</f>
        <v>49.99</v>
      </c>
      <c r="K14">
        <f>Table1[[#This Row],[Gross_Revenue]]-Table1[[#This Row],[Discount_Amount]]+Table1[[#This Row],[Shipping_Cost]]</f>
        <v>52.490500000000004</v>
      </c>
      <c r="L14">
        <f>Table1[[#This Row],[Net_Revenue]]*0.4</f>
        <v>20.996200000000002</v>
      </c>
      <c r="M14">
        <f>MONTH(Table1[[#This Row],[Order_Date]])</f>
        <v>2</v>
      </c>
      <c r="N14">
        <v>5</v>
      </c>
      <c r="O14" t="s">
        <v>16</v>
      </c>
      <c r="P14" t="s">
        <v>36</v>
      </c>
      <c r="Q14" t="s">
        <v>55</v>
      </c>
    </row>
    <row r="15" spans="1:17" x14ac:dyDescent="0.3">
      <c r="A15" s="1">
        <v>45340</v>
      </c>
      <c r="B15" t="s">
        <v>56</v>
      </c>
      <c r="C15" t="s">
        <v>57</v>
      </c>
      <c r="D15" t="s">
        <v>30</v>
      </c>
      <c r="E15" t="s">
        <v>58</v>
      </c>
      <c r="F15">
        <v>1</v>
      </c>
      <c r="G15">
        <v>38</v>
      </c>
      <c r="H15">
        <v>0</v>
      </c>
      <c r="I15">
        <f>Table1[[#This Row],[Gross_Revenue]]*Table1[[#This Row],[Discount]]</f>
        <v>0</v>
      </c>
      <c r="J15">
        <f>Table1[[#This Row],[Unit_Price]] *Table1[[#This Row],[Quantity]]</f>
        <v>38</v>
      </c>
      <c r="K15">
        <f>Table1[[#This Row],[Gross_Revenue]]-Table1[[#This Row],[Discount_Amount]]+Table1[[#This Row],[Shipping_Cost]]</f>
        <v>42</v>
      </c>
      <c r="L15">
        <f>Table1[[#This Row],[Net_Revenue]]*0.4</f>
        <v>16.8</v>
      </c>
      <c r="M15">
        <f>MONTH(Table1[[#This Row],[Order_Date]])</f>
        <v>2</v>
      </c>
      <c r="N15">
        <v>4</v>
      </c>
      <c r="O15" t="s">
        <v>23</v>
      </c>
      <c r="P15" t="s">
        <v>24</v>
      </c>
      <c r="Q15" t="s">
        <v>18</v>
      </c>
    </row>
    <row r="16" spans="1:17" x14ac:dyDescent="0.3">
      <c r="A16" s="1">
        <v>45344</v>
      </c>
      <c r="B16" t="s">
        <v>12</v>
      </c>
      <c r="C16" t="s">
        <v>13</v>
      </c>
      <c r="D16" t="s">
        <v>14</v>
      </c>
      <c r="E16" t="s">
        <v>59</v>
      </c>
      <c r="F16">
        <v>2</v>
      </c>
      <c r="G16">
        <v>12.99</v>
      </c>
      <c r="H16">
        <v>0</v>
      </c>
      <c r="I16">
        <f>Table1[[#This Row],[Gross_Revenue]]*Table1[[#This Row],[Discount]]</f>
        <v>0</v>
      </c>
      <c r="J16">
        <f>Table1[[#This Row],[Unit_Price]] *Table1[[#This Row],[Quantity]]</f>
        <v>25.98</v>
      </c>
      <c r="K16">
        <f>Table1[[#This Row],[Gross_Revenue]]-Table1[[#This Row],[Discount_Amount]]+Table1[[#This Row],[Shipping_Cost]]</f>
        <v>28.98</v>
      </c>
      <c r="L16">
        <f>Table1[[#This Row],[Net_Revenue]]*0.4</f>
        <v>11.592000000000001</v>
      </c>
      <c r="M16">
        <f>MONTH(Table1[[#This Row],[Order_Date]])</f>
        <v>2</v>
      </c>
      <c r="N16">
        <v>3</v>
      </c>
      <c r="O16" t="s">
        <v>16</v>
      </c>
      <c r="P16" t="s">
        <v>17</v>
      </c>
      <c r="Q16" t="s">
        <v>18</v>
      </c>
    </row>
    <row r="17" spans="1:17" x14ac:dyDescent="0.3">
      <c r="A17" s="1">
        <v>45347</v>
      </c>
      <c r="B17" t="s">
        <v>60</v>
      </c>
      <c r="C17" t="s">
        <v>61</v>
      </c>
      <c r="D17" t="s">
        <v>34</v>
      </c>
      <c r="E17" t="s">
        <v>62</v>
      </c>
      <c r="F17">
        <v>1</v>
      </c>
      <c r="G17">
        <v>89.99</v>
      </c>
      <c r="H17">
        <v>0.15</v>
      </c>
      <c r="I17">
        <f>Table1[[#This Row],[Gross_Revenue]]*Table1[[#This Row],[Discount]]</f>
        <v>13.498499999999998</v>
      </c>
      <c r="J17">
        <f>Table1[[#This Row],[Unit_Price]] *Table1[[#This Row],[Quantity]]</f>
        <v>89.99</v>
      </c>
      <c r="K17">
        <f>Table1[[#This Row],[Gross_Revenue]]-Table1[[#This Row],[Discount_Amount]]+Table1[[#This Row],[Shipping_Cost]]</f>
        <v>83.491500000000002</v>
      </c>
      <c r="L17">
        <f>Table1[[#This Row],[Net_Revenue]]*0.4</f>
        <v>33.396599999999999</v>
      </c>
      <c r="M17">
        <f>MONTH(Table1[[#This Row],[Order_Date]])</f>
        <v>2</v>
      </c>
      <c r="N17">
        <v>7</v>
      </c>
      <c r="O17" t="s">
        <v>28</v>
      </c>
      <c r="P17" t="s">
        <v>29</v>
      </c>
      <c r="Q17" t="s">
        <v>18</v>
      </c>
    </row>
    <row r="18" spans="1:17" x14ac:dyDescent="0.3">
      <c r="A18" s="1">
        <v>45350</v>
      </c>
      <c r="B18" t="s">
        <v>40</v>
      </c>
      <c r="C18" t="s">
        <v>41</v>
      </c>
      <c r="D18" t="s">
        <v>21</v>
      </c>
      <c r="E18" t="s">
        <v>63</v>
      </c>
      <c r="F18">
        <v>1</v>
      </c>
      <c r="G18">
        <v>34.99</v>
      </c>
      <c r="H18">
        <v>0</v>
      </c>
      <c r="I18">
        <f>Table1[[#This Row],[Gross_Revenue]]*Table1[[#This Row],[Discount]]</f>
        <v>0</v>
      </c>
      <c r="J18">
        <f>Table1[[#This Row],[Unit_Price]] *Table1[[#This Row],[Quantity]]</f>
        <v>34.99</v>
      </c>
      <c r="K18">
        <f>Table1[[#This Row],[Gross_Revenue]]-Table1[[#This Row],[Discount_Amount]]+Table1[[#This Row],[Shipping_Cost]]</f>
        <v>39.99</v>
      </c>
      <c r="L18">
        <f>Table1[[#This Row],[Net_Revenue]]*0.4</f>
        <v>15.996000000000002</v>
      </c>
      <c r="M18">
        <f>MONTH(Table1[[#This Row],[Order_Date]])</f>
        <v>2</v>
      </c>
      <c r="N18">
        <v>5</v>
      </c>
      <c r="O18" t="s">
        <v>28</v>
      </c>
      <c r="P18" t="s">
        <v>24</v>
      </c>
      <c r="Q18" t="s">
        <v>18</v>
      </c>
    </row>
    <row r="19" spans="1:17" x14ac:dyDescent="0.3">
      <c r="A19" s="1">
        <v>45354</v>
      </c>
      <c r="B19" t="s">
        <v>64</v>
      </c>
      <c r="C19" t="s">
        <v>65</v>
      </c>
      <c r="D19" t="s">
        <v>14</v>
      </c>
      <c r="E19" t="s">
        <v>66</v>
      </c>
      <c r="F19">
        <v>1</v>
      </c>
      <c r="G19">
        <v>69.989999999999995</v>
      </c>
      <c r="H19">
        <v>0.1</v>
      </c>
      <c r="I19">
        <f>Table1[[#This Row],[Gross_Revenue]]*Table1[[#This Row],[Discount]]</f>
        <v>6.9989999999999997</v>
      </c>
      <c r="J19">
        <f>Table1[[#This Row],[Unit_Price]] *Table1[[#This Row],[Quantity]]</f>
        <v>69.989999999999995</v>
      </c>
      <c r="K19">
        <f>Table1[[#This Row],[Gross_Revenue]]-Table1[[#This Row],[Discount_Amount]]+Table1[[#This Row],[Shipping_Cost]]</f>
        <v>67.990999999999985</v>
      </c>
      <c r="L19">
        <f>Table1[[#This Row],[Net_Revenue]]*0.4</f>
        <v>27.196399999999997</v>
      </c>
      <c r="M19">
        <f>MONTH(Table1[[#This Row],[Order_Date]])</f>
        <v>3</v>
      </c>
      <c r="N19">
        <v>5</v>
      </c>
      <c r="O19" t="s">
        <v>16</v>
      </c>
      <c r="P19" t="s">
        <v>36</v>
      </c>
      <c r="Q19" t="s">
        <v>18</v>
      </c>
    </row>
    <row r="20" spans="1:17" x14ac:dyDescent="0.3">
      <c r="A20" s="1">
        <v>45357</v>
      </c>
      <c r="B20" t="s">
        <v>37</v>
      </c>
      <c r="C20" t="s">
        <v>38</v>
      </c>
      <c r="D20" t="s">
        <v>30</v>
      </c>
      <c r="E20" t="s">
        <v>67</v>
      </c>
      <c r="F20">
        <v>1</v>
      </c>
      <c r="G20">
        <v>64</v>
      </c>
      <c r="H20">
        <v>0</v>
      </c>
      <c r="I20">
        <f>Table1[[#This Row],[Gross_Revenue]]*Table1[[#This Row],[Discount]]</f>
        <v>0</v>
      </c>
      <c r="J20">
        <f>Table1[[#This Row],[Unit_Price]] *Table1[[#This Row],[Quantity]]</f>
        <v>64</v>
      </c>
      <c r="K20">
        <f>Table1[[#This Row],[Gross_Revenue]]-Table1[[#This Row],[Discount_Amount]]+Table1[[#This Row],[Shipping_Cost]]</f>
        <v>68</v>
      </c>
      <c r="L20">
        <f>Table1[[#This Row],[Net_Revenue]]*0.4</f>
        <v>27.200000000000003</v>
      </c>
      <c r="M20">
        <f>MONTH(Table1[[#This Row],[Order_Date]])</f>
        <v>3</v>
      </c>
      <c r="N20">
        <v>4</v>
      </c>
      <c r="O20" t="s">
        <v>23</v>
      </c>
      <c r="P20" t="s">
        <v>17</v>
      </c>
      <c r="Q20" t="s">
        <v>18</v>
      </c>
    </row>
    <row r="21" spans="1:17" x14ac:dyDescent="0.3">
      <c r="A21" s="1">
        <v>45361</v>
      </c>
      <c r="B21" t="s">
        <v>68</v>
      </c>
      <c r="C21" t="s">
        <v>69</v>
      </c>
      <c r="D21" t="s">
        <v>34</v>
      </c>
      <c r="E21" t="s">
        <v>70</v>
      </c>
      <c r="F21">
        <v>2</v>
      </c>
      <c r="G21">
        <v>49.99</v>
      </c>
      <c r="H21">
        <v>0.2</v>
      </c>
      <c r="I21">
        <f>Table1[[#This Row],[Gross_Revenue]]*Table1[[#This Row],[Discount]]</f>
        <v>19.996000000000002</v>
      </c>
      <c r="J21">
        <f>Table1[[#This Row],[Unit_Price]] *Table1[[#This Row],[Quantity]]</f>
        <v>99.98</v>
      </c>
      <c r="K21">
        <f>Table1[[#This Row],[Gross_Revenue]]-Table1[[#This Row],[Discount_Amount]]+Table1[[#This Row],[Shipping_Cost]]</f>
        <v>85.984000000000009</v>
      </c>
      <c r="L21">
        <f>Table1[[#This Row],[Net_Revenue]]*0.4</f>
        <v>34.393600000000006</v>
      </c>
      <c r="M21">
        <f>MONTH(Table1[[#This Row],[Order_Date]])</f>
        <v>3</v>
      </c>
      <c r="N21">
        <v>6</v>
      </c>
      <c r="O21" t="s">
        <v>16</v>
      </c>
      <c r="P21" t="s">
        <v>24</v>
      </c>
      <c r="Q21" t="s">
        <v>18</v>
      </c>
    </row>
    <row r="22" spans="1:17" x14ac:dyDescent="0.3">
      <c r="A22" s="1">
        <v>45364</v>
      </c>
      <c r="B22" t="s">
        <v>19</v>
      </c>
      <c r="C22" t="s">
        <v>20</v>
      </c>
      <c r="D22" t="s">
        <v>14</v>
      </c>
      <c r="E22" t="s">
        <v>71</v>
      </c>
      <c r="F22">
        <v>1</v>
      </c>
      <c r="G22">
        <v>35.99</v>
      </c>
      <c r="H22">
        <v>0.05</v>
      </c>
      <c r="I22">
        <f>Table1[[#This Row],[Gross_Revenue]]*Table1[[#This Row],[Discount]]</f>
        <v>1.7995000000000001</v>
      </c>
      <c r="J22">
        <f>Table1[[#This Row],[Unit_Price]] *Table1[[#This Row],[Quantity]]</f>
        <v>35.99</v>
      </c>
      <c r="K22">
        <f>Table1[[#This Row],[Gross_Revenue]]-Table1[[#This Row],[Discount_Amount]]+Table1[[#This Row],[Shipping_Cost]]</f>
        <v>38.1905</v>
      </c>
      <c r="L22">
        <f>Table1[[#This Row],[Net_Revenue]]*0.4</f>
        <v>15.276200000000001</v>
      </c>
      <c r="M22">
        <f>MONTH(Table1[[#This Row],[Order_Date]])</f>
        <v>3</v>
      </c>
      <c r="N22">
        <v>4</v>
      </c>
      <c r="O22" t="s">
        <v>23</v>
      </c>
      <c r="P22" t="s">
        <v>24</v>
      </c>
      <c r="Q22" t="s">
        <v>18</v>
      </c>
    </row>
    <row r="23" spans="1:17" x14ac:dyDescent="0.3">
      <c r="A23" s="1">
        <v>45368</v>
      </c>
      <c r="B23" t="s">
        <v>72</v>
      </c>
      <c r="C23" t="s">
        <v>73</v>
      </c>
      <c r="D23" t="s">
        <v>21</v>
      </c>
      <c r="E23" t="s">
        <v>74</v>
      </c>
      <c r="F23">
        <v>2</v>
      </c>
      <c r="G23">
        <v>44.99</v>
      </c>
      <c r="H23">
        <v>0.15</v>
      </c>
      <c r="I23">
        <f>Table1[[#This Row],[Gross_Revenue]]*Table1[[#This Row],[Discount]]</f>
        <v>13.497</v>
      </c>
      <c r="J23">
        <f>Table1[[#This Row],[Unit_Price]] *Table1[[#This Row],[Quantity]]</f>
        <v>89.98</v>
      </c>
      <c r="K23">
        <f>Table1[[#This Row],[Gross_Revenue]]-Table1[[#This Row],[Discount_Amount]]+Table1[[#This Row],[Shipping_Cost]]</f>
        <v>84.483000000000004</v>
      </c>
      <c r="L23">
        <f>Table1[[#This Row],[Net_Revenue]]*0.4</f>
        <v>33.793200000000006</v>
      </c>
      <c r="M23">
        <f>MONTH(Table1[[#This Row],[Order_Date]])</f>
        <v>3</v>
      </c>
      <c r="N23">
        <v>8</v>
      </c>
      <c r="O23" t="s">
        <v>28</v>
      </c>
      <c r="P23" t="s">
        <v>29</v>
      </c>
      <c r="Q23" t="s">
        <v>18</v>
      </c>
    </row>
    <row r="24" spans="1:17" x14ac:dyDescent="0.3">
      <c r="A24" s="1">
        <v>45371</v>
      </c>
      <c r="B24" t="s">
        <v>44</v>
      </c>
      <c r="C24" t="s">
        <v>45</v>
      </c>
      <c r="D24" t="s">
        <v>14</v>
      </c>
      <c r="E24" t="s">
        <v>75</v>
      </c>
      <c r="F24">
        <v>3</v>
      </c>
      <c r="G24">
        <v>8.99</v>
      </c>
      <c r="H24">
        <v>0</v>
      </c>
      <c r="I24">
        <f>Table1[[#This Row],[Gross_Revenue]]*Table1[[#This Row],[Discount]]</f>
        <v>0</v>
      </c>
      <c r="J24">
        <f>Table1[[#This Row],[Unit_Price]] *Table1[[#This Row],[Quantity]]</f>
        <v>26.97</v>
      </c>
      <c r="K24">
        <f>Table1[[#This Row],[Gross_Revenue]]-Table1[[#This Row],[Discount_Amount]]+Table1[[#This Row],[Shipping_Cost]]</f>
        <v>29.97</v>
      </c>
      <c r="L24">
        <f>Table1[[#This Row],[Net_Revenue]]*0.4</f>
        <v>11.988</v>
      </c>
      <c r="M24">
        <f>MONTH(Table1[[#This Row],[Order_Date]])</f>
        <v>3</v>
      </c>
      <c r="N24">
        <v>3</v>
      </c>
      <c r="O24" t="s">
        <v>16</v>
      </c>
      <c r="P24" t="s">
        <v>29</v>
      </c>
      <c r="Q24" t="s">
        <v>18</v>
      </c>
    </row>
    <row r="25" spans="1:17" x14ac:dyDescent="0.3">
      <c r="A25" s="1">
        <v>45375</v>
      </c>
      <c r="B25" t="s">
        <v>76</v>
      </c>
      <c r="C25" t="s">
        <v>77</v>
      </c>
      <c r="D25" t="s">
        <v>30</v>
      </c>
      <c r="E25" t="s">
        <v>78</v>
      </c>
      <c r="F25">
        <v>1</v>
      </c>
      <c r="G25">
        <v>48</v>
      </c>
      <c r="H25">
        <v>0</v>
      </c>
      <c r="I25">
        <f>Table1[[#This Row],[Gross_Revenue]]*Table1[[#This Row],[Discount]]</f>
        <v>0</v>
      </c>
      <c r="J25">
        <f>Table1[[#This Row],[Unit_Price]] *Table1[[#This Row],[Quantity]]</f>
        <v>48</v>
      </c>
      <c r="K25">
        <f>Table1[[#This Row],[Gross_Revenue]]-Table1[[#This Row],[Discount_Amount]]+Table1[[#This Row],[Shipping_Cost]]</f>
        <v>52</v>
      </c>
      <c r="L25">
        <f>Table1[[#This Row],[Net_Revenue]]*0.4</f>
        <v>20.8</v>
      </c>
      <c r="M25">
        <f>MONTH(Table1[[#This Row],[Order_Date]])</f>
        <v>3</v>
      </c>
      <c r="N25">
        <v>4</v>
      </c>
      <c r="O25" t="s">
        <v>23</v>
      </c>
      <c r="P25" t="s">
        <v>36</v>
      </c>
      <c r="Q25" t="s">
        <v>18</v>
      </c>
    </row>
    <row r="26" spans="1:17" x14ac:dyDescent="0.3">
      <c r="A26" s="1">
        <v>45378</v>
      </c>
      <c r="B26" t="s">
        <v>47</v>
      </c>
      <c r="C26" t="s">
        <v>48</v>
      </c>
      <c r="D26" t="s">
        <v>34</v>
      </c>
      <c r="E26" t="s">
        <v>79</v>
      </c>
      <c r="F26">
        <v>1</v>
      </c>
      <c r="G26">
        <v>69.989999999999995</v>
      </c>
      <c r="H26">
        <v>0.2</v>
      </c>
      <c r="I26">
        <f>Table1[[#This Row],[Gross_Revenue]]*Table1[[#This Row],[Discount]]</f>
        <v>13.997999999999999</v>
      </c>
      <c r="J26">
        <f>Table1[[#This Row],[Unit_Price]] *Table1[[#This Row],[Quantity]]</f>
        <v>69.989999999999995</v>
      </c>
      <c r="K26">
        <f>Table1[[#This Row],[Gross_Revenue]]-Table1[[#This Row],[Discount_Amount]]+Table1[[#This Row],[Shipping_Cost]]</f>
        <v>61.991999999999997</v>
      </c>
      <c r="L26">
        <f>Table1[[#This Row],[Net_Revenue]]*0.4</f>
        <v>24.796800000000001</v>
      </c>
      <c r="M26">
        <f>MONTH(Table1[[#This Row],[Order_Date]])</f>
        <v>3</v>
      </c>
      <c r="N26">
        <v>6</v>
      </c>
      <c r="O26" t="s">
        <v>28</v>
      </c>
      <c r="P26" t="s">
        <v>36</v>
      </c>
      <c r="Q26" t="s">
        <v>18</v>
      </c>
    </row>
    <row r="27" spans="1:17" x14ac:dyDescent="0.3">
      <c r="A27" s="1">
        <v>45381</v>
      </c>
      <c r="B27" t="s">
        <v>32</v>
      </c>
      <c r="C27" t="s">
        <v>33</v>
      </c>
      <c r="D27" t="s">
        <v>14</v>
      </c>
      <c r="E27" t="s">
        <v>80</v>
      </c>
      <c r="F27">
        <v>2</v>
      </c>
      <c r="G27">
        <v>25.99</v>
      </c>
      <c r="H27">
        <v>0.1</v>
      </c>
      <c r="I27">
        <f>Table1[[#This Row],[Gross_Revenue]]*Table1[[#This Row],[Discount]]</f>
        <v>5.1980000000000004</v>
      </c>
      <c r="J27">
        <f>Table1[[#This Row],[Unit_Price]] *Table1[[#This Row],[Quantity]]</f>
        <v>51.98</v>
      </c>
      <c r="K27">
        <f>Table1[[#This Row],[Gross_Revenue]]-Table1[[#This Row],[Discount_Amount]]+Table1[[#This Row],[Shipping_Cost]]</f>
        <v>51.781999999999996</v>
      </c>
      <c r="L27">
        <f>Table1[[#This Row],[Net_Revenue]]*0.4</f>
        <v>20.712800000000001</v>
      </c>
      <c r="M27">
        <f>MONTH(Table1[[#This Row],[Order_Date]])</f>
        <v>3</v>
      </c>
      <c r="N27">
        <v>5</v>
      </c>
      <c r="O27" t="s">
        <v>16</v>
      </c>
      <c r="P27" t="s">
        <v>36</v>
      </c>
      <c r="Q27" t="s">
        <v>18</v>
      </c>
    </row>
    <row r="28" spans="1:17" x14ac:dyDescent="0.3">
      <c r="A28" s="1">
        <v>45382</v>
      </c>
      <c r="B28" t="s">
        <v>81</v>
      </c>
      <c r="C28" t="s">
        <v>82</v>
      </c>
      <c r="D28" t="s">
        <v>21</v>
      </c>
      <c r="E28" t="s">
        <v>83</v>
      </c>
      <c r="F28">
        <v>3</v>
      </c>
      <c r="G28">
        <v>18.989999999999998</v>
      </c>
      <c r="H28">
        <v>0</v>
      </c>
      <c r="I28">
        <f>Table1[[#This Row],[Gross_Revenue]]*Table1[[#This Row],[Discount]]</f>
        <v>0</v>
      </c>
      <c r="J28">
        <f>Table1[[#This Row],[Unit_Price]] *Table1[[#This Row],[Quantity]]</f>
        <v>56.97</v>
      </c>
      <c r="K28">
        <f>Table1[[#This Row],[Gross_Revenue]]-Table1[[#This Row],[Discount_Amount]]+Table1[[#This Row],[Shipping_Cost]]</f>
        <v>63.97</v>
      </c>
      <c r="L28">
        <f>Table1[[#This Row],[Net_Revenue]]*0.4</f>
        <v>25.588000000000001</v>
      </c>
      <c r="M28">
        <f>MONTH(Table1[[#This Row],[Order_Date]])</f>
        <v>3</v>
      </c>
      <c r="N28">
        <v>7</v>
      </c>
      <c r="O28" t="s">
        <v>23</v>
      </c>
      <c r="P28" t="s">
        <v>17</v>
      </c>
      <c r="Q28" t="s">
        <v>18</v>
      </c>
    </row>
    <row r="29" spans="1:17" x14ac:dyDescent="0.3">
      <c r="A29" s="1">
        <v>45382</v>
      </c>
      <c r="B29" t="s">
        <v>56</v>
      </c>
      <c r="C29" t="s">
        <v>57</v>
      </c>
      <c r="D29" t="s">
        <v>14</v>
      </c>
      <c r="E29" t="s">
        <v>84</v>
      </c>
      <c r="F29">
        <v>5</v>
      </c>
      <c r="G29">
        <v>6.99</v>
      </c>
      <c r="H29">
        <v>0.05</v>
      </c>
      <c r="I29">
        <f>Table1[[#This Row],[Gross_Revenue]]*Table1[[#This Row],[Discount]]</f>
        <v>1.7475000000000003</v>
      </c>
      <c r="J29">
        <f>Table1[[#This Row],[Unit_Price]] *Table1[[#This Row],[Quantity]]</f>
        <v>34.950000000000003</v>
      </c>
      <c r="K29">
        <f>Table1[[#This Row],[Gross_Revenue]]-Table1[[#This Row],[Discount_Amount]]+Table1[[#This Row],[Shipping_Cost]]</f>
        <v>36.202500000000001</v>
      </c>
      <c r="L29">
        <f>Table1[[#This Row],[Net_Revenue]]*0.4</f>
        <v>14.481000000000002</v>
      </c>
      <c r="M29">
        <f>MONTH(Table1[[#This Row],[Order_Date]])</f>
        <v>3</v>
      </c>
      <c r="N29">
        <v>3</v>
      </c>
      <c r="O29" t="s">
        <v>23</v>
      </c>
      <c r="P29" t="s">
        <v>24</v>
      </c>
      <c r="Q29" t="s">
        <v>18</v>
      </c>
    </row>
    <row r="30" spans="1:17" hidden="1" x14ac:dyDescent="0.3">
      <c r="A30" s="1">
        <v>45382</v>
      </c>
      <c r="B30" t="s">
        <v>60</v>
      </c>
      <c r="C30" t="s">
        <v>61</v>
      </c>
      <c r="D30" t="s">
        <v>30</v>
      </c>
      <c r="E30" t="s">
        <v>85</v>
      </c>
      <c r="F30">
        <v>1</v>
      </c>
      <c r="G30">
        <v>55</v>
      </c>
      <c r="H30">
        <v>0</v>
      </c>
      <c r="I30">
        <f>Table1[[#This Row],[Gross_Revenue]]*Table1[[#This Row],[Discount]]</f>
        <v>0</v>
      </c>
      <c r="J30">
        <f>Table1[[#This Row],[Unit_Price]] *Table1[[#This Row],[Quantity]]</f>
        <v>55</v>
      </c>
      <c r="K30">
        <f>Table1[[#This Row],[Gross_Revenue]]-Table1[[#This Row],[Discount_Amount]]+Table1[[#This Row],[Shipping_Cost]]</f>
        <v>59</v>
      </c>
      <c r="L30">
        <f>Table1[[#This Row],[Net_Revenue]]*0.4</f>
        <v>23.6</v>
      </c>
      <c r="M30">
        <f>MONTH(Table1[[#This Row],[Order_Date]])</f>
        <v>3</v>
      </c>
      <c r="N30">
        <v>4</v>
      </c>
      <c r="O30" t="s">
        <v>28</v>
      </c>
      <c r="P30" t="s">
        <v>29</v>
      </c>
      <c r="Q30" t="s">
        <v>55</v>
      </c>
    </row>
    <row r="31" spans="1:17" x14ac:dyDescent="0.3">
      <c r="A31" s="1">
        <v>45382</v>
      </c>
      <c r="B31" t="s">
        <v>64</v>
      </c>
      <c r="C31" t="s">
        <v>65</v>
      </c>
      <c r="D31" t="s">
        <v>34</v>
      </c>
      <c r="E31" t="s">
        <v>86</v>
      </c>
      <c r="F31">
        <v>2</v>
      </c>
      <c r="G31">
        <v>29.99</v>
      </c>
      <c r="H31">
        <v>0.1</v>
      </c>
      <c r="I31">
        <f>Table1[[#This Row],[Gross_Revenue]]*Table1[[#This Row],[Discount]]</f>
        <v>5.9980000000000002</v>
      </c>
      <c r="J31">
        <f>Table1[[#This Row],[Unit_Price]] *Table1[[#This Row],[Quantity]]</f>
        <v>59.98</v>
      </c>
      <c r="K31">
        <f>Table1[[#This Row],[Gross_Revenue]]-Table1[[#This Row],[Discount_Amount]]+Table1[[#This Row],[Shipping_Cost]]</f>
        <v>58.981999999999999</v>
      </c>
      <c r="L31">
        <f>Table1[[#This Row],[Net_Revenue]]*0.4</f>
        <v>23.5928</v>
      </c>
      <c r="M31">
        <f>MONTH(Table1[[#This Row],[Order_Date]])</f>
        <v>3</v>
      </c>
      <c r="N31">
        <v>5</v>
      </c>
      <c r="O31" t="s">
        <v>16</v>
      </c>
      <c r="P31" t="s">
        <v>36</v>
      </c>
      <c r="Q31"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1D9E-F425-473A-97CE-4184CD1FA1C0}">
  <dimension ref="A1:S36"/>
  <sheetViews>
    <sheetView tabSelected="1" topLeftCell="B1" zoomScale="85" zoomScaleNormal="85" workbookViewId="0">
      <selection activeCell="E25" sqref="E25"/>
    </sheetView>
  </sheetViews>
  <sheetFormatPr defaultRowHeight="14.4" x14ac:dyDescent="0.3"/>
  <cols>
    <col min="1" max="1" width="12.5546875" bestFit="1" customWidth="1"/>
    <col min="2" max="2" width="19" bestFit="1" customWidth="1"/>
    <col min="3" max="3" width="14.109375" bestFit="1" customWidth="1"/>
    <col min="4" max="4" width="22.21875" bestFit="1" customWidth="1"/>
    <col min="5" max="5" width="16.44140625" bestFit="1" customWidth="1"/>
    <col min="6" max="6" width="20" bestFit="1" customWidth="1"/>
    <col min="7" max="7" width="14.5546875" bestFit="1" customWidth="1"/>
    <col min="8" max="8" width="10.77734375" bestFit="1" customWidth="1"/>
    <col min="11" max="11" width="13.44140625" bestFit="1" customWidth="1"/>
    <col min="12" max="12" width="23.5546875" bestFit="1" customWidth="1"/>
  </cols>
  <sheetData>
    <row r="1" spans="1:19" ht="33.6" x14ac:dyDescent="0.65">
      <c r="A1" s="4" t="s">
        <v>92</v>
      </c>
      <c r="B1" s="4"/>
      <c r="C1" s="4"/>
      <c r="D1" s="4"/>
      <c r="E1" s="4"/>
      <c r="F1" s="4"/>
      <c r="G1" s="4"/>
      <c r="H1" s="4"/>
      <c r="I1" s="4"/>
      <c r="J1" s="4"/>
      <c r="K1" s="4"/>
      <c r="L1" s="4"/>
      <c r="M1" s="4"/>
      <c r="N1" s="4"/>
      <c r="O1" s="4"/>
      <c r="P1" s="4"/>
      <c r="Q1" s="4"/>
      <c r="R1" s="4"/>
      <c r="S1" s="4"/>
    </row>
    <row r="2" spans="1:19" x14ac:dyDescent="0.3">
      <c r="A2" t="s">
        <v>93</v>
      </c>
      <c r="C2" s="5" t="s">
        <v>95</v>
      </c>
      <c r="D2" t="s">
        <v>117</v>
      </c>
      <c r="K2" t="s">
        <v>100</v>
      </c>
    </row>
    <row r="3" spans="1:19" x14ac:dyDescent="0.3">
      <c r="A3" t="s">
        <v>94</v>
      </c>
      <c r="C3" s="6" t="s">
        <v>34</v>
      </c>
      <c r="D3" s="7">
        <v>74.152750000000012</v>
      </c>
      <c r="K3" t="s">
        <v>101</v>
      </c>
    </row>
    <row r="4" spans="1:19" x14ac:dyDescent="0.3">
      <c r="C4" s="6" t="s">
        <v>21</v>
      </c>
      <c r="D4" s="7">
        <v>74.151499999999999</v>
      </c>
      <c r="K4" s="5" t="s">
        <v>95</v>
      </c>
      <c r="L4" t="s">
        <v>97</v>
      </c>
    </row>
    <row r="5" spans="1:19" x14ac:dyDescent="0.3">
      <c r="C5" s="6" t="s">
        <v>30</v>
      </c>
      <c r="D5" s="7">
        <v>54.333333333333336</v>
      </c>
      <c r="K5" s="6">
        <v>1</v>
      </c>
      <c r="L5" s="7">
        <v>543.85400000000004</v>
      </c>
    </row>
    <row r="6" spans="1:19" x14ac:dyDescent="0.3">
      <c r="C6" s="6" t="s">
        <v>14</v>
      </c>
      <c r="D6" s="7">
        <v>48.582666666666661</v>
      </c>
      <c r="K6" s="6">
        <v>2</v>
      </c>
      <c r="L6" s="7">
        <v>496.41650000000004</v>
      </c>
    </row>
    <row r="7" spans="1:19" x14ac:dyDescent="0.3">
      <c r="C7" s="6" t="s">
        <v>96</v>
      </c>
      <c r="D7" s="7">
        <v>59.960583333333332</v>
      </c>
      <c r="K7" s="6">
        <v>3</v>
      </c>
      <c r="L7" s="7">
        <v>758.54700000000003</v>
      </c>
    </row>
    <row r="8" spans="1:19" x14ac:dyDescent="0.3">
      <c r="K8" s="6" t="s">
        <v>96</v>
      </c>
      <c r="L8" s="7">
        <v>1798.8175000000001</v>
      </c>
    </row>
    <row r="12" spans="1:19" x14ac:dyDescent="0.3">
      <c r="A12" t="s">
        <v>98</v>
      </c>
      <c r="K12" t="s">
        <v>102</v>
      </c>
    </row>
    <row r="13" spans="1:19" x14ac:dyDescent="0.3">
      <c r="A13" t="s">
        <v>99</v>
      </c>
      <c r="C13" s="5" t="s">
        <v>95</v>
      </c>
      <c r="D13" t="s">
        <v>97</v>
      </c>
      <c r="K13" t="s">
        <v>103</v>
      </c>
    </row>
    <row r="14" spans="1:19" x14ac:dyDescent="0.3">
      <c r="C14" s="6" t="s">
        <v>36</v>
      </c>
      <c r="D14" s="7">
        <v>499.70449999999994</v>
      </c>
      <c r="K14" s="5" t="s">
        <v>95</v>
      </c>
      <c r="L14" t="s">
        <v>117</v>
      </c>
    </row>
    <row r="15" spans="1:19" x14ac:dyDescent="0.3">
      <c r="C15" s="6" t="s">
        <v>24</v>
      </c>
      <c r="D15" s="7">
        <v>498.82099999999997</v>
      </c>
      <c r="K15" s="6" t="s">
        <v>28</v>
      </c>
      <c r="L15" s="7">
        <v>69.541722222222234</v>
      </c>
    </row>
    <row r="16" spans="1:19" x14ac:dyDescent="0.3">
      <c r="C16" s="6" t="s">
        <v>29</v>
      </c>
      <c r="D16" s="7">
        <v>408.38700000000006</v>
      </c>
      <c r="K16" s="6" t="s">
        <v>23</v>
      </c>
      <c r="L16" s="7">
        <v>57.58059999999999</v>
      </c>
    </row>
    <row r="17" spans="3:12" x14ac:dyDescent="0.3">
      <c r="C17" s="6" t="s">
        <v>17</v>
      </c>
      <c r="D17" s="7">
        <v>391.90499999999997</v>
      </c>
      <c r="K17" s="6" t="s">
        <v>16</v>
      </c>
      <c r="L17" s="7">
        <v>54.285090909090918</v>
      </c>
    </row>
    <row r="18" spans="3:12" x14ac:dyDescent="0.3">
      <c r="C18" s="6" t="s">
        <v>96</v>
      </c>
      <c r="D18" s="7">
        <v>1798.8175000000001</v>
      </c>
      <c r="K18" s="6" t="s">
        <v>96</v>
      </c>
      <c r="L18" s="7">
        <v>59.960583333333339</v>
      </c>
    </row>
    <row r="23" spans="3:12" x14ac:dyDescent="0.3">
      <c r="E23" t="s">
        <v>104</v>
      </c>
    </row>
    <row r="24" spans="3:12" x14ac:dyDescent="0.3">
      <c r="E24" t="s">
        <v>105</v>
      </c>
    </row>
    <row r="25" spans="3:12" x14ac:dyDescent="0.3">
      <c r="E25" s="5" t="s">
        <v>95</v>
      </c>
      <c r="F25" t="s">
        <v>97</v>
      </c>
    </row>
    <row r="26" spans="3:12" x14ac:dyDescent="0.3">
      <c r="E26" s="6" t="s">
        <v>20</v>
      </c>
      <c r="F26" s="7">
        <v>190.66050000000001</v>
      </c>
    </row>
    <row r="27" spans="3:12" x14ac:dyDescent="0.3">
      <c r="E27" s="6" t="s">
        <v>33</v>
      </c>
      <c r="F27" s="7">
        <v>161.24700000000001</v>
      </c>
    </row>
    <row r="28" spans="3:12" x14ac:dyDescent="0.3">
      <c r="E28" s="6" t="s">
        <v>48</v>
      </c>
      <c r="F28" s="7">
        <v>159.4845</v>
      </c>
    </row>
    <row r="29" spans="3:12" x14ac:dyDescent="0.3">
      <c r="E29" s="6" t="s">
        <v>41</v>
      </c>
      <c r="F29" s="7">
        <v>143.97400000000002</v>
      </c>
    </row>
    <row r="30" spans="3:12" x14ac:dyDescent="0.3">
      <c r="E30" s="6" t="s">
        <v>61</v>
      </c>
      <c r="F30" s="7">
        <v>142.4915</v>
      </c>
    </row>
    <row r="31" spans="3:12" x14ac:dyDescent="0.3">
      <c r="E31" s="6" t="s">
        <v>38</v>
      </c>
      <c r="F31" s="7">
        <v>139.99099999999999</v>
      </c>
    </row>
    <row r="32" spans="3:12" x14ac:dyDescent="0.3">
      <c r="E32" s="6" t="s">
        <v>13</v>
      </c>
      <c r="F32" s="7">
        <v>136.96199999999999</v>
      </c>
    </row>
    <row r="33" spans="5:6" x14ac:dyDescent="0.3">
      <c r="E33" s="6" t="s">
        <v>65</v>
      </c>
      <c r="F33" s="7">
        <v>126.97299999999998</v>
      </c>
    </row>
    <row r="34" spans="5:6" x14ac:dyDescent="0.3">
      <c r="E34" s="6" t="s">
        <v>26</v>
      </c>
      <c r="F34" s="7">
        <v>95.442499999999995</v>
      </c>
    </row>
    <row r="35" spans="5:6" x14ac:dyDescent="0.3">
      <c r="E35" s="6" t="s">
        <v>69</v>
      </c>
      <c r="F35" s="7">
        <v>85.984000000000009</v>
      </c>
    </row>
    <row r="36" spans="5:6" x14ac:dyDescent="0.3">
      <c r="E36" s="6" t="s">
        <v>96</v>
      </c>
      <c r="F36" s="7">
        <v>1383.21</v>
      </c>
    </row>
  </sheetData>
  <mergeCells count="1">
    <mergeCell ref="A1:S1"/>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D94E-D0E3-40A8-B818-A1DA06714DC4}">
  <dimension ref="A1:I37"/>
  <sheetViews>
    <sheetView topLeftCell="A4" workbookViewId="0">
      <selection activeCell="D20" sqref="D20"/>
    </sheetView>
  </sheetViews>
  <sheetFormatPr defaultRowHeight="14.4" x14ac:dyDescent="0.3"/>
  <cols>
    <col min="2" max="2" width="15.77734375" bestFit="1" customWidth="1"/>
    <col min="3" max="3" width="18.6640625" bestFit="1" customWidth="1"/>
    <col min="4" max="4" width="12.5546875" bestFit="1" customWidth="1"/>
    <col min="8" max="8" width="12.5546875" bestFit="1" customWidth="1"/>
    <col min="9" max="9" width="22.88671875" bestFit="1" customWidth="1"/>
  </cols>
  <sheetData>
    <row r="1" spans="1:9" x14ac:dyDescent="0.3">
      <c r="A1" t="s">
        <v>106</v>
      </c>
    </row>
    <row r="2" spans="1:9" x14ac:dyDescent="0.3">
      <c r="A2" t="s">
        <v>107</v>
      </c>
      <c r="B2" t="s">
        <v>108</v>
      </c>
    </row>
    <row r="3" spans="1:9" x14ac:dyDescent="0.3">
      <c r="B3" t="s">
        <v>101</v>
      </c>
    </row>
    <row r="4" spans="1:9" x14ac:dyDescent="0.3">
      <c r="B4" t="s">
        <v>95</v>
      </c>
      <c r="C4" t="s">
        <v>97</v>
      </c>
    </row>
    <row r="5" spans="1:9" x14ac:dyDescent="0.3">
      <c r="B5" s="6">
        <v>1</v>
      </c>
      <c r="C5" s="7">
        <v>543.85400000000004</v>
      </c>
    </row>
    <row r="6" spans="1:9" x14ac:dyDescent="0.3">
      <c r="B6" s="6">
        <v>2</v>
      </c>
      <c r="C6" s="7">
        <v>496.41650000000004</v>
      </c>
    </row>
    <row r="7" spans="1:9" x14ac:dyDescent="0.3">
      <c r="A7" t="s">
        <v>109</v>
      </c>
      <c r="B7" s="6">
        <v>3</v>
      </c>
      <c r="C7" s="7">
        <v>758.54700000000003</v>
      </c>
    </row>
    <row r="8" spans="1:9" x14ac:dyDescent="0.3">
      <c r="A8" t="s">
        <v>110</v>
      </c>
      <c r="B8" s="5" t="s">
        <v>95</v>
      </c>
      <c r="C8" t="s">
        <v>97</v>
      </c>
      <c r="D8" t="s">
        <v>115</v>
      </c>
    </row>
    <row r="9" spans="1:9" x14ac:dyDescent="0.3">
      <c r="A9" t="s">
        <v>109</v>
      </c>
      <c r="B9" s="6" t="s">
        <v>14</v>
      </c>
      <c r="C9" s="7">
        <v>582.99199999999996</v>
      </c>
      <c r="D9" s="7">
        <v>21.592296296296293</v>
      </c>
    </row>
    <row r="10" spans="1:9" x14ac:dyDescent="0.3">
      <c r="B10" s="6" t="s">
        <v>34</v>
      </c>
      <c r="C10" s="7">
        <v>444.91650000000004</v>
      </c>
      <c r="D10" s="7">
        <v>44.491650000000007</v>
      </c>
    </row>
    <row r="11" spans="1:9" x14ac:dyDescent="0.3">
      <c r="B11" s="6" t="s">
        <v>21</v>
      </c>
      <c r="C11" s="7">
        <v>444.90899999999999</v>
      </c>
      <c r="D11" s="7">
        <v>40.446272727272728</v>
      </c>
      <c r="H11" s="5" t="s">
        <v>95</v>
      </c>
      <c r="I11" t="s">
        <v>114</v>
      </c>
    </row>
    <row r="12" spans="1:9" x14ac:dyDescent="0.3">
      <c r="B12" s="6" t="s">
        <v>30</v>
      </c>
      <c r="C12" s="7">
        <v>326</v>
      </c>
      <c r="D12" s="7">
        <v>54.333333333333336</v>
      </c>
      <c r="H12" s="6" t="s">
        <v>29</v>
      </c>
      <c r="I12" s="7">
        <v>4.8571428571428568</v>
      </c>
    </row>
    <row r="13" spans="1:9" x14ac:dyDescent="0.3">
      <c r="B13" s="6" t="s">
        <v>96</v>
      </c>
      <c r="C13" s="7">
        <v>1798.8174999999999</v>
      </c>
      <c r="D13" s="7">
        <v>33.311435185185182</v>
      </c>
      <c r="H13" s="6" t="s">
        <v>17</v>
      </c>
      <c r="I13" s="7">
        <v>4.1428571428571432</v>
      </c>
    </row>
    <row r="14" spans="1:9" x14ac:dyDescent="0.3">
      <c r="H14" s="6" t="s">
        <v>24</v>
      </c>
      <c r="I14" s="7">
        <v>5.625</v>
      </c>
    </row>
    <row r="15" spans="1:9" x14ac:dyDescent="0.3">
      <c r="B15" s="6" t="s">
        <v>112</v>
      </c>
      <c r="C15">
        <f>COUNTA(Table1[Order_Date])</f>
        <v>30</v>
      </c>
      <c r="H15" s="6" t="s">
        <v>36</v>
      </c>
      <c r="I15" s="7">
        <v>4.5</v>
      </c>
    </row>
    <row r="16" spans="1:9" x14ac:dyDescent="0.3">
      <c r="B16" s="6" t="s">
        <v>111</v>
      </c>
      <c r="C16">
        <f>SUM(Table1[Net_Revenue])</f>
        <v>1798.8174999999999</v>
      </c>
      <c r="H16" s="6" t="s">
        <v>96</v>
      </c>
      <c r="I16" s="7">
        <v>4.8</v>
      </c>
    </row>
    <row r="17" spans="2:4" x14ac:dyDescent="0.3">
      <c r="B17" s="6" t="s">
        <v>113</v>
      </c>
    </row>
    <row r="20" spans="2:4" x14ac:dyDescent="0.3">
      <c r="B20" s="5" t="s">
        <v>95</v>
      </c>
      <c r="C20" t="s">
        <v>116</v>
      </c>
      <c r="D20" s="5" t="s">
        <v>95</v>
      </c>
    </row>
    <row r="21" spans="2:4" x14ac:dyDescent="0.3">
      <c r="B21" s="6" t="s">
        <v>33</v>
      </c>
      <c r="C21" s="7">
        <v>3</v>
      </c>
      <c r="D21" s="6" t="s">
        <v>16</v>
      </c>
    </row>
    <row r="22" spans="2:4" x14ac:dyDescent="0.3">
      <c r="B22" s="6" t="s">
        <v>20</v>
      </c>
      <c r="C22" s="7">
        <v>3</v>
      </c>
      <c r="D22" s="6" t="s">
        <v>28</v>
      </c>
    </row>
    <row r="23" spans="2:4" x14ac:dyDescent="0.3">
      <c r="B23" s="6" t="s">
        <v>13</v>
      </c>
      <c r="C23" s="7">
        <v>3</v>
      </c>
      <c r="D23" s="6" t="s">
        <v>23</v>
      </c>
    </row>
    <row r="24" spans="2:4" x14ac:dyDescent="0.3">
      <c r="B24" s="6" t="s">
        <v>61</v>
      </c>
      <c r="C24" s="7">
        <v>2</v>
      </c>
      <c r="D24" s="6" t="s">
        <v>96</v>
      </c>
    </row>
    <row r="25" spans="2:4" x14ac:dyDescent="0.3">
      <c r="B25" s="6" t="s">
        <v>26</v>
      </c>
      <c r="C25" s="7">
        <v>2</v>
      </c>
    </row>
    <row r="26" spans="2:4" x14ac:dyDescent="0.3">
      <c r="B26" s="6" t="s">
        <v>38</v>
      </c>
      <c r="C26" s="7">
        <v>2</v>
      </c>
    </row>
    <row r="27" spans="2:4" x14ac:dyDescent="0.3">
      <c r="B27" s="6" t="s">
        <v>45</v>
      </c>
      <c r="C27" s="7">
        <v>2</v>
      </c>
    </row>
    <row r="28" spans="2:4" x14ac:dyDescent="0.3">
      <c r="B28" s="6" t="s">
        <v>65</v>
      </c>
      <c r="C28" s="7">
        <v>2</v>
      </c>
    </row>
    <row r="29" spans="2:4" x14ac:dyDescent="0.3">
      <c r="B29" s="6" t="s">
        <v>57</v>
      </c>
      <c r="C29" s="7">
        <v>2</v>
      </c>
    </row>
    <row r="30" spans="2:4" x14ac:dyDescent="0.3">
      <c r="B30" s="6" t="s">
        <v>41</v>
      </c>
      <c r="C30" s="7">
        <v>2</v>
      </c>
    </row>
    <row r="31" spans="2:4" x14ac:dyDescent="0.3">
      <c r="B31" s="6" t="s">
        <v>48</v>
      </c>
      <c r="C31" s="7">
        <v>2</v>
      </c>
    </row>
    <row r="32" spans="2:4" x14ac:dyDescent="0.3">
      <c r="B32" s="6" t="s">
        <v>77</v>
      </c>
      <c r="C32" s="7">
        <v>1</v>
      </c>
    </row>
    <row r="33" spans="2:3" x14ac:dyDescent="0.3">
      <c r="B33" s="6" t="s">
        <v>69</v>
      </c>
      <c r="C33" s="7">
        <v>1</v>
      </c>
    </row>
    <row r="34" spans="2:3" x14ac:dyDescent="0.3">
      <c r="B34" s="6" t="s">
        <v>82</v>
      </c>
      <c r="C34" s="7">
        <v>1</v>
      </c>
    </row>
    <row r="35" spans="2:3" x14ac:dyDescent="0.3">
      <c r="B35" s="6" t="s">
        <v>73</v>
      </c>
      <c r="C35" s="7">
        <v>1</v>
      </c>
    </row>
    <row r="36" spans="2:3" x14ac:dyDescent="0.3">
      <c r="B36" s="6" t="s">
        <v>52</v>
      </c>
      <c r="C36" s="7">
        <v>1</v>
      </c>
    </row>
    <row r="37" spans="2:3" x14ac:dyDescent="0.3">
      <c r="B37" s="6" t="s">
        <v>96</v>
      </c>
      <c r="C37" s="7">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5DD6-7BD1-40DB-AE1D-2CDD84DDFABD}">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Sheet3</vt:lpstr>
      <vt:lpstr>Optional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2025-12-01T02:37:17Z</dcterms:created>
  <dcterms:modified xsi:type="dcterms:W3CDTF">2025-12-01T03:45:13Z</dcterms:modified>
</cp:coreProperties>
</file>