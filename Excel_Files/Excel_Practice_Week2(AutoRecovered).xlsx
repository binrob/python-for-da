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\Excel\"/>
    </mc:Choice>
  </mc:AlternateContent>
  <xr:revisionPtr revIDLastSave="0" documentId="13_ncr:1_{998C4B94-0DA2-4ABD-AC6D-785744CECBA7}" xr6:coauthVersionLast="45" xr6:coauthVersionMax="45" xr10:uidLastSave="{00000000-0000-0000-0000-000000000000}"/>
  <bookViews>
    <workbookView xWindow="-108" yWindow="-108" windowWidth="23256" windowHeight="12456" activeTab="1" xr2:uid="{6A40BE89-F881-421E-8E76-B386FE0862AB}"/>
  </bookViews>
  <sheets>
    <sheet name="Sheet1" sheetId="6" r:id="rId1"/>
    <sheet name="Sales_Data" sheetId="1" r:id="rId2"/>
    <sheet name="Product_Lookup" sheetId="2" r:id="rId3"/>
    <sheet name="Target_Sales" sheetId="3" r:id="rId4"/>
    <sheet name="Dashboard1" sheetId="5" r:id="rId5"/>
  </sheets>
  <calcPr calcId="191029"/>
  <pivotCaches>
    <pivotCache cacheId="4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5" l="1"/>
  <c r="P31" i="1"/>
  <c r="P30" i="1"/>
  <c r="P29" i="1"/>
  <c r="B18" i="5"/>
  <c r="B12" i="5"/>
  <c r="E30" i="1"/>
  <c r="B6" i="5" l="1"/>
  <c r="J3" i="1"/>
  <c r="J4" i="1"/>
  <c r="O12" i="1"/>
  <c r="O11" i="1"/>
  <c r="J28" i="1" s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J29" i="1" l="1"/>
  <c r="J30" i="1"/>
  <c r="J31" i="1"/>
  <c r="K11" i="1"/>
  <c r="M11" i="1" s="1"/>
  <c r="K12" i="1"/>
  <c r="M12" i="1" s="1"/>
  <c r="K13" i="1"/>
  <c r="M13" i="1" s="1"/>
  <c r="K14" i="1"/>
  <c r="M14" i="1" s="1"/>
  <c r="Q14" i="1" s="1"/>
  <c r="K15" i="1"/>
  <c r="M15" i="1" s="1"/>
  <c r="K16" i="1"/>
  <c r="M16" i="1" s="1"/>
  <c r="Q16" i="1" s="1"/>
  <c r="K17" i="1"/>
  <c r="M17" i="1" s="1"/>
  <c r="K18" i="1"/>
  <c r="M18" i="1" s="1"/>
  <c r="K19" i="1"/>
  <c r="M19" i="1" s="1"/>
  <c r="K20" i="1"/>
  <c r="M20" i="1" s="1"/>
  <c r="Q20" i="1" s="1"/>
  <c r="K21" i="1"/>
  <c r="M21" i="1" s="1"/>
  <c r="Q21" i="1" s="1"/>
  <c r="K22" i="1"/>
  <c r="M22" i="1" s="1"/>
  <c r="Q22" i="1" s="1"/>
  <c r="K23" i="1"/>
  <c r="M23" i="1" s="1"/>
  <c r="K24" i="1"/>
  <c r="M24" i="1" s="1"/>
  <c r="K25" i="1"/>
  <c r="M25" i="1" s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J11" i="1"/>
  <c r="B11" i="5" s="1"/>
  <c r="J12" i="1"/>
  <c r="J13" i="1"/>
  <c r="J14" i="1"/>
  <c r="J15" i="1"/>
  <c r="L15" i="1" s="1"/>
  <c r="J16" i="1"/>
  <c r="J17" i="1"/>
  <c r="J18" i="1"/>
  <c r="L18" i="1" s="1"/>
  <c r="J19" i="1"/>
  <c r="L19" i="1" s="1"/>
  <c r="J20" i="1"/>
  <c r="L20" i="1" s="1"/>
  <c r="J21" i="1"/>
  <c r="J22" i="1"/>
  <c r="L22" i="1" s="1"/>
  <c r="J23" i="1"/>
  <c r="L23" i="1" s="1"/>
  <c r="J24" i="1"/>
  <c r="L24" i="1" s="1"/>
  <c r="J25" i="1"/>
  <c r="L25" i="1" s="1"/>
  <c r="L16" i="1" l="1"/>
  <c r="E4" i="1"/>
  <c r="M34" i="1"/>
  <c r="L13" i="1"/>
  <c r="M32" i="1"/>
  <c r="Q19" i="1"/>
  <c r="B5" i="5"/>
  <c r="B7" i="5" s="1"/>
  <c r="L21" i="1"/>
  <c r="M36" i="1"/>
  <c r="Q18" i="1"/>
  <c r="L17" i="1"/>
  <c r="M35" i="1"/>
  <c r="L14" i="1"/>
  <c r="M33" i="1"/>
  <c r="L12" i="1"/>
  <c r="M31" i="1"/>
  <c r="L11" i="1"/>
  <c r="P2" i="1" s="1"/>
  <c r="E31" i="1"/>
  <c r="E29" i="1"/>
  <c r="M30" i="1"/>
  <c r="H3" i="1"/>
  <c r="E3" i="1"/>
  <c r="H4" i="1" s="1"/>
  <c r="B16" i="5" s="1"/>
  <c r="Q17" i="1"/>
  <c r="Q15" i="1"/>
  <c r="Q25" i="1"/>
  <c r="Q13" i="1"/>
  <c r="Q12" i="1"/>
  <c r="Q24" i="1"/>
  <c r="Q23" i="1"/>
  <c r="Q11" i="1"/>
  <c r="O4" i="1"/>
  <c r="O5" i="1" s="1"/>
  <c r="R4" i="1"/>
  <c r="R7" i="1"/>
  <c r="R6" i="1"/>
  <c r="R5" i="1"/>
  <c r="Q2" i="1"/>
  <c r="O2" i="1"/>
  <c r="B13" i="5" l="1"/>
  <c r="H5" i="1"/>
  <c r="B17" i="5" s="1"/>
</calcChain>
</file>

<file path=xl/sharedStrings.xml><?xml version="1.0" encoding="utf-8"?>
<sst xmlns="http://schemas.openxmlformats.org/spreadsheetml/2006/main" count="163" uniqueCount="91">
  <si>
    <t>Region</t>
  </si>
  <si>
    <t>Monthly_Target</t>
  </si>
  <si>
    <t>Brisbane</t>
  </si>
  <si>
    <t>Sydney</t>
  </si>
  <si>
    <t>Melbourne</t>
  </si>
  <si>
    <t>Perth</t>
  </si>
  <si>
    <t>Product</t>
  </si>
  <si>
    <t>Cost_Price</t>
  </si>
  <si>
    <t>Supplier</t>
  </si>
  <si>
    <t>Laptop</t>
  </si>
  <si>
    <t>TechSupply Co</t>
  </si>
  <si>
    <t>Mouse</t>
  </si>
  <si>
    <t>Keyboard</t>
  </si>
  <si>
    <t>Monitor</t>
  </si>
  <si>
    <t>DisplayPro Ltd</t>
  </si>
  <si>
    <t>Desk Chair</t>
  </si>
  <si>
    <t>FurniCorp</t>
  </si>
  <si>
    <t>Standing Desk</t>
  </si>
  <si>
    <t>Office Chair</t>
  </si>
  <si>
    <t>Order_ID</t>
  </si>
  <si>
    <t>Date</t>
  </si>
  <si>
    <t>Customer_Name</t>
  </si>
  <si>
    <t>Category</t>
  </si>
  <si>
    <t>Quantity</t>
  </si>
  <si>
    <t>Unit_Price</t>
  </si>
  <si>
    <t>Discount</t>
  </si>
  <si>
    <t>Alice Johnson</t>
  </si>
  <si>
    <t>Electronics</t>
  </si>
  <si>
    <t>Bob Smith</t>
  </si>
  <si>
    <t>Charlie Brown</t>
  </si>
  <si>
    <t>David Wilson</t>
  </si>
  <si>
    <t>Eve Davis</t>
  </si>
  <si>
    <t>Frank Miller</t>
  </si>
  <si>
    <t>Furniture</t>
  </si>
  <si>
    <t>Grace Moore</t>
  </si>
  <si>
    <t>Henry Taylor</t>
  </si>
  <si>
    <t>Ivy Wilson</t>
  </si>
  <si>
    <t>Jack Brown</t>
  </si>
  <si>
    <t>Kelly Davis</t>
  </si>
  <si>
    <t>Liam Smith</t>
  </si>
  <si>
    <t>Mia Johnson</t>
  </si>
  <si>
    <t>Noah Wilson</t>
  </si>
  <si>
    <t>Olivia Brown</t>
  </si>
  <si>
    <t>Revenue</t>
  </si>
  <si>
    <t>Flag high</t>
  </si>
  <si>
    <t>Profit</t>
  </si>
  <si>
    <t>Month</t>
  </si>
  <si>
    <t>BrisBane Total</t>
  </si>
  <si>
    <t>Brisbane High Value Count</t>
  </si>
  <si>
    <t>AVG Electronics Revenue</t>
  </si>
  <si>
    <t>Order_Description</t>
  </si>
  <si>
    <t>Profit_margin</t>
  </si>
  <si>
    <t>total revenue</t>
  </si>
  <si>
    <t>Day_of_Week</t>
  </si>
  <si>
    <t>electronics=</t>
  </si>
  <si>
    <t xml:space="preserve">total = </t>
  </si>
  <si>
    <t>furniture =</t>
  </si>
  <si>
    <t>electronics% =</t>
  </si>
  <si>
    <t>avg_elec</t>
  </si>
  <si>
    <t>avg_fur</t>
  </si>
  <si>
    <t>"SALES ANALYSIS DASHBOARD"</t>
  </si>
  <si>
    <t>"January 2024"</t>
  </si>
  <si>
    <t>"KEY METRICS"</t>
  </si>
  <si>
    <t>"Total Revenue:"</t>
  </si>
  <si>
    <t>"Total Orders:"</t>
  </si>
  <si>
    <t>"Average Order Value:"</t>
  </si>
  <si>
    <t>"Total Profit:"</t>
  </si>
  <si>
    <t>"TOP PERFORMERS"</t>
  </si>
  <si>
    <t>"Best Region:"</t>
  </si>
  <si>
    <t>"Best Product:"</t>
  </si>
  <si>
    <t>helper_column</t>
  </si>
  <si>
    <t>"Highest Profit Margin:"</t>
  </si>
  <si>
    <t>"INSIGHTS"</t>
  </si>
  <si>
    <t>"Electronics Revenue %:"</t>
  </si>
  <si>
    <t>"Furniture Revenue %:"</t>
  </si>
  <si>
    <t>fur%</t>
  </si>
  <si>
    <t>"Average Discount:"</t>
  </si>
  <si>
    <t>product</t>
  </si>
  <si>
    <t>Standing Dest</t>
  </si>
  <si>
    <t>Row Labels</t>
  </si>
  <si>
    <t>Grand Total</t>
  </si>
  <si>
    <t>Sum of Profit</t>
  </si>
  <si>
    <t>Sum of Revenue</t>
  </si>
  <si>
    <t>Column Labels</t>
  </si>
  <si>
    <t>Total Sum of Revenue</t>
  </si>
  <si>
    <t>Total Sum of Profit</t>
  </si>
  <si>
    <t>(All)</t>
  </si>
  <si>
    <t>Total Sum of Profit_Margin_Pct</t>
  </si>
  <si>
    <t>Sum of Profit_Margin_Pct</t>
  </si>
  <si>
    <t>Total Sum of avg_order_value</t>
  </si>
  <si>
    <t>Sum of avg_order_value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</si>
</sst>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NumberFormat="1"/>
    <xf numFmtId="0" fontId="2" fillId="2" borderId="0" xfId="0" applyFont="1" applyFill="1" applyAlignment="1">
      <alignment horizontal="center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region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80314960629921E-2"/>
          <c:y val="0.22768518518518518"/>
          <c:w val="0.87753018372703417"/>
          <c:h val="0.6417672790901137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Sales_Data!$Q$4:$Q$7</c:f>
              <c:strCache>
                <c:ptCount val="4"/>
                <c:pt idx="0">
                  <c:v>Brisbane</c:v>
                </c:pt>
                <c:pt idx="1">
                  <c:v>Sydney</c:v>
                </c:pt>
                <c:pt idx="2">
                  <c:v>Melbourne</c:v>
                </c:pt>
                <c:pt idx="3">
                  <c:v>Perth</c:v>
                </c:pt>
              </c:strCache>
            </c:strRef>
          </c:cat>
          <c:val>
            <c:numRef>
              <c:f>Sales_Data!$R$4:$R$7</c:f>
              <c:numCache>
                <c:formatCode>General</c:formatCode>
                <c:ptCount val="4"/>
                <c:pt idx="0">
                  <c:v>5514</c:v>
                </c:pt>
                <c:pt idx="1">
                  <c:v>1208.75</c:v>
                </c:pt>
                <c:pt idx="2">
                  <c:v>1525</c:v>
                </c:pt>
                <c:pt idx="3">
                  <c:v>637.5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7F-4E88-8C52-34F349FAA3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1865359"/>
        <c:axId val="1298212543"/>
      </c:barChart>
      <c:catAx>
        <c:axId val="1311865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212543"/>
        <c:crosses val="autoZero"/>
        <c:auto val="1"/>
        <c:lblAlgn val="ctr"/>
        <c:lblOffset val="100"/>
        <c:noMultiLvlLbl val="0"/>
      </c:catAx>
      <c:valAx>
        <c:axId val="1298212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865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861060</xdr:colOff>
      <xdr:row>1</xdr:row>
      <xdr:rowOff>289560</xdr:rowOff>
    </xdr:from>
    <xdr:to>
      <xdr:col>9</xdr:col>
      <xdr:colOff>464820</xdr:colOff>
      <xdr:row>16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2E7447-0837-44CA-A81A-19DD814B07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990.616469791668" createdVersion="6" refreshedVersion="6" minRefreshableVersion="3" recordCount="15" xr:uid="{AD984491-9FB8-410E-8CCD-BF7797BCD5D7}">
  <cacheSource type="worksheet">
    <worksheetSource name="Table1"/>
  </cacheSource>
  <cacheFields count="19">
    <cacheField name="Order_ID" numFmtId="0">
      <sharedItems containsSemiMixedTypes="0" containsString="0" containsNumber="1" containsInteger="1" minValue="1001" maxValue="1015"/>
    </cacheField>
    <cacheField name="Date" numFmtId="14">
      <sharedItems containsSemiMixedTypes="0" containsNonDate="0" containsDate="1" containsString="0" minDate="2024-01-15T00:00:00" maxDate="2024-01-30T00:00:00" count="15"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</sharedItems>
    </cacheField>
    <cacheField name="Customer_Name" numFmtId="0">
      <sharedItems count="15">
        <s v="Alice Johnson"/>
        <s v="Bob Smith"/>
        <s v="Charlie Brown"/>
        <s v="David Wilson"/>
        <s v="Eve Davis"/>
        <s v="Frank Miller"/>
        <s v="Grace Moore"/>
        <s v="Henry Taylor"/>
        <s v="Ivy Wilson"/>
        <s v="Jack Brown"/>
        <s v="Kelly Davis"/>
        <s v="Liam Smith"/>
        <s v="Mia Johnson"/>
        <s v="Noah Wilson"/>
        <s v="Olivia Brown"/>
      </sharedItems>
    </cacheField>
    <cacheField name="Product" numFmtId="0">
      <sharedItems count="7">
        <s v="Laptop"/>
        <s v="Mouse"/>
        <s v="Keyboard"/>
        <s v="Monitor"/>
        <s v="Desk Chair"/>
        <s v="Standing Desk"/>
        <s v="Office Chair"/>
      </sharedItems>
    </cacheField>
    <cacheField name="Category" numFmtId="0">
      <sharedItems count="2">
        <s v="Electronics"/>
        <s v="Furniture"/>
      </sharedItems>
    </cacheField>
    <cacheField name="Region" numFmtId="0">
      <sharedItems count="4">
        <s v="Brisbane"/>
        <s v="Sydney"/>
        <s v="Melbourne"/>
        <s v="Perth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25" maxValue="1200"/>
    </cacheField>
    <cacheField name="Discount" numFmtId="0">
      <sharedItems containsSemiMixedTypes="0" containsString="0" containsNumber="1" minValue="0" maxValue="0.2"/>
    </cacheField>
    <cacheField name="Revenue" numFmtId="0">
      <sharedItems containsSemiMixedTypes="0" containsString="0" containsNumber="1" minValue="118.75" maxValue="2160"/>
    </cacheField>
    <cacheField name="Cost_Price" numFmtId="0">
      <sharedItems containsSemiMixedTypes="0" containsString="0" containsNumber="1" containsInteger="1" minValue="15" maxValue="800"/>
    </cacheField>
    <cacheField name="Flag high" numFmtId="0">
      <sharedItems/>
    </cacheField>
    <cacheField name="Profit" numFmtId="0">
      <sharedItems containsSemiMixedTypes="0" containsString="0" containsNumber="1" minValue="47.5" maxValue="720"/>
    </cacheField>
    <cacheField name="Month" numFmtId="0">
      <sharedItems count="1">
        <s v="January"/>
      </sharedItems>
    </cacheField>
    <cacheField name="Day_of_Week" numFmtId="0">
      <sharedItems/>
    </cacheField>
    <cacheField name="Order_Description" numFmtId="0">
      <sharedItems/>
    </cacheField>
    <cacheField name="Profit_margin" numFmtId="0">
      <sharedItems containsSemiMixedTypes="0" containsString="0" containsNumber="1" minValue="30" maxValue="40"/>
    </cacheField>
    <cacheField name="Profit_Margin_Pct" numFmtId="0" formula="Profit /Revenue*100" databaseField="0"/>
    <cacheField name="avg_order_value" numFmtId="0" formula="Revenue /Quantity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001"/>
    <x v="0"/>
    <x v="0"/>
    <x v="0"/>
    <x v="0"/>
    <x v="0"/>
    <n v="2"/>
    <n v="1200"/>
    <n v="0.1"/>
    <n v="2160"/>
    <n v="800"/>
    <s v="yes"/>
    <n v="720"/>
    <x v="0"/>
    <s v="Monday"/>
    <s v="Alice Johnsonordered 2 Laptop"/>
    <n v="33.333333333333329"/>
  </r>
  <r>
    <n v="1002"/>
    <x v="1"/>
    <x v="1"/>
    <x v="1"/>
    <x v="0"/>
    <x v="1"/>
    <n v="5"/>
    <n v="25"/>
    <n v="0.05"/>
    <n v="118.75"/>
    <n v="15"/>
    <s v="no"/>
    <n v="47.5"/>
    <x v="0"/>
    <s v="Tuesday"/>
    <s v="Bob Smithordered 5 Mouse"/>
    <n v="40"/>
  </r>
  <r>
    <n v="1003"/>
    <x v="2"/>
    <x v="2"/>
    <x v="2"/>
    <x v="0"/>
    <x v="0"/>
    <n v="3"/>
    <n v="75"/>
    <n v="0"/>
    <n v="225"/>
    <n v="45"/>
    <s v="no"/>
    <n v="90"/>
    <x v="0"/>
    <s v="Wednesday"/>
    <s v="Charlie Brownordered 3 Keyboard"/>
    <n v="40"/>
  </r>
  <r>
    <n v="1004"/>
    <x v="3"/>
    <x v="3"/>
    <x v="3"/>
    <x v="0"/>
    <x v="2"/>
    <n v="1"/>
    <n v="300"/>
    <n v="0.15"/>
    <n v="255"/>
    <n v="200"/>
    <s v="no"/>
    <n v="85"/>
    <x v="0"/>
    <s v="Thursday"/>
    <s v="David Wilsonordered 1 Monitor"/>
    <n v="33.333333333333329"/>
  </r>
  <r>
    <n v="1005"/>
    <x v="4"/>
    <x v="4"/>
    <x v="0"/>
    <x v="0"/>
    <x v="0"/>
    <n v="1"/>
    <n v="1200"/>
    <n v="0.1"/>
    <n v="1080"/>
    <n v="800"/>
    <s v="yes"/>
    <n v="360"/>
    <x v="0"/>
    <s v="Friday"/>
    <s v="Eve Davisordered 1 Laptop"/>
    <n v="33.333333333333329"/>
  </r>
  <r>
    <n v="1006"/>
    <x v="5"/>
    <x v="5"/>
    <x v="4"/>
    <x v="1"/>
    <x v="1"/>
    <n v="2"/>
    <n v="250"/>
    <n v="0.2"/>
    <n v="400"/>
    <n v="150"/>
    <s v="no"/>
    <n v="160"/>
    <x v="0"/>
    <s v="Saturday"/>
    <s v="Frank Millerordered 2 Desk Chair"/>
    <n v="40"/>
  </r>
  <r>
    <n v="1007"/>
    <x v="6"/>
    <x v="6"/>
    <x v="5"/>
    <x v="1"/>
    <x v="0"/>
    <n v="1"/>
    <n v="500"/>
    <n v="0.1"/>
    <n v="450"/>
    <n v="350"/>
    <s v="no"/>
    <n v="135"/>
    <x v="0"/>
    <s v="Sunday"/>
    <s v="Grace Mooreordered 1 Standing Desk"/>
    <n v="30"/>
  </r>
  <r>
    <n v="1008"/>
    <x v="7"/>
    <x v="7"/>
    <x v="1"/>
    <x v="0"/>
    <x v="3"/>
    <n v="10"/>
    <n v="25"/>
    <n v="0.05"/>
    <n v="237.5"/>
    <n v="15"/>
    <s v="no"/>
    <n v="95"/>
    <x v="0"/>
    <s v="Monday"/>
    <s v="Henry Taylorordered 10 Mouse"/>
    <n v="40"/>
  </r>
  <r>
    <n v="1009"/>
    <x v="8"/>
    <x v="8"/>
    <x v="2"/>
    <x v="0"/>
    <x v="1"/>
    <n v="2"/>
    <n v="75"/>
    <n v="0"/>
    <n v="150"/>
    <n v="45"/>
    <s v="no"/>
    <n v="60"/>
    <x v="0"/>
    <s v="Tuesday"/>
    <s v="Ivy Wilsonordered 2 Keyboard"/>
    <n v="40"/>
  </r>
  <r>
    <n v="1010"/>
    <x v="9"/>
    <x v="9"/>
    <x v="0"/>
    <x v="0"/>
    <x v="2"/>
    <n v="1"/>
    <n v="1200"/>
    <n v="0.1"/>
    <n v="1080"/>
    <n v="800"/>
    <s v="yes"/>
    <n v="360"/>
    <x v="0"/>
    <s v="Wednesday"/>
    <s v="Jack Brownordered 1 Laptop"/>
    <n v="33.333333333333329"/>
  </r>
  <r>
    <n v="1011"/>
    <x v="10"/>
    <x v="10"/>
    <x v="6"/>
    <x v="1"/>
    <x v="0"/>
    <n v="3"/>
    <n v="180"/>
    <n v="0.15"/>
    <n v="459"/>
    <n v="120"/>
    <s v="no"/>
    <n v="153"/>
    <x v="0"/>
    <s v="Thursday"/>
    <s v="Kelly Davisordered 3 Office Chair"/>
    <n v="33.333333333333329"/>
  </r>
  <r>
    <n v="1012"/>
    <x v="11"/>
    <x v="11"/>
    <x v="3"/>
    <x v="0"/>
    <x v="1"/>
    <n v="2"/>
    <n v="300"/>
    <n v="0.1"/>
    <n v="540"/>
    <n v="200"/>
    <s v="no"/>
    <n v="180"/>
    <x v="0"/>
    <s v="Friday"/>
    <s v="Liam Smithordered 2 Monitor"/>
    <n v="33.333333333333329"/>
  </r>
  <r>
    <n v="1013"/>
    <x v="12"/>
    <x v="12"/>
    <x v="0"/>
    <x v="0"/>
    <x v="0"/>
    <n v="1"/>
    <n v="1200"/>
    <n v="0.05"/>
    <n v="1140"/>
    <n v="800"/>
    <s v="yes"/>
    <n v="380"/>
    <x v="0"/>
    <s v="Saturday"/>
    <s v="Mia Johnsonordered 1 Laptop"/>
    <n v="33.333333333333329"/>
  </r>
  <r>
    <n v="1014"/>
    <x v="13"/>
    <x v="13"/>
    <x v="5"/>
    <x v="1"/>
    <x v="3"/>
    <n v="1"/>
    <n v="500"/>
    <n v="0.2"/>
    <n v="400"/>
    <n v="350"/>
    <s v="no"/>
    <n v="120"/>
    <x v="0"/>
    <s v="Sunday"/>
    <s v="Noah Wilsonordered 1 Standing Desk"/>
    <n v="30"/>
  </r>
  <r>
    <n v="1015"/>
    <x v="14"/>
    <x v="14"/>
    <x v="1"/>
    <x v="0"/>
    <x v="2"/>
    <n v="8"/>
    <n v="25"/>
    <n v="0.05"/>
    <n v="190"/>
    <n v="15"/>
    <s v="no"/>
    <n v="76"/>
    <x v="0"/>
    <s v="Monday"/>
    <s v="Olivia Brownordered 8 Mouse"/>
    <n v="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5F0101-6C25-4D90-A0BC-CD6CA9828BF6}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M10" firstHeaderRow="1" firstDataRow="3" firstDataCol="1" rowPageCount="1" colPageCount="1"/>
  <pivotFields count="19">
    <pivotField showAll="0"/>
    <pivotField numFmtId="14" showAll="0"/>
    <pivotField showAll="0"/>
    <pivotField axis="axisPage" multipleItemSelectionAllowed="1" showAll="0">
      <items count="8">
        <item x="4"/>
        <item x="2"/>
        <item x="0"/>
        <item x="3"/>
        <item x="1"/>
        <item x="6"/>
        <item x="5"/>
        <item t="default"/>
      </items>
    </pivotField>
    <pivotField axis="axisCol" showAll="0">
      <items count="3">
        <item x="0"/>
        <item x="1"/>
        <item t="default"/>
      </items>
    </pivotField>
    <pivotField axis="axisRow" showAll="0" sortType="ascending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dataField="1" dragToRow="0" dragToCol="0" dragToPage="0" showAll="0" defaultSubtotal="0"/>
    <pivotField dataField="1" dragToRow="0" dragToCol="0" dragToPage="0" showAll="0" defaultSubtota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2">
    <field x="4"/>
    <field x="-2"/>
  </colFields>
  <colItems count="12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  <i t="grand">
      <x/>
    </i>
    <i t="grand" i="1">
      <x/>
    </i>
    <i t="grand" i="2">
      <x/>
    </i>
    <i t="grand" i="3">
      <x/>
    </i>
  </colItems>
  <pageFields count="1">
    <pageField fld="3" hier="-1"/>
  </pageFields>
  <dataFields count="4">
    <dataField name="Sum of Revenue" fld="9" showDataAs="percentOfTotal" baseField="5" baseItem="0" numFmtId="10"/>
    <dataField name="Sum of Profit" fld="12" baseField="5" baseItem="0"/>
    <dataField name="Sum of Profit_Margin_Pct" fld="17" baseField="0" baseItem="0"/>
    <dataField name="Sum of avg_order_value" fld="18" baseField="0" baseItem="0" numFmtId="10"/>
  </dataFields>
  <formats count="3">
    <format dxfId="5">
      <pivotArea outline="0" collapsedLevelsAreSubtotals="1" fieldPosition="0">
        <references count="2">
          <reference field="4294967294" count="1" selected="0">
            <x v="3"/>
          </reference>
          <reference field="4" count="1" selected="0">
            <x v="1"/>
          </reference>
        </references>
      </pivotArea>
    </format>
    <format dxfId="4">
      <pivotArea field="4" grandCol="1" outline="0" collapsedLevelsAreSubtotals="1" axis="axisCol" fieldPosition="0">
        <references count="1">
          <reference field="4294967294" count="1" selected="0">
            <x v="3"/>
          </reference>
        </references>
      </pivotArea>
    </format>
    <format dxfId="3">
      <pivotArea outline="0" collapsedLevelsAreSubtotals="1" fieldPosition="0">
        <references count="2">
          <reference field="4294967294" count="1" selected="0">
            <x v="3"/>
          </reference>
          <reference field="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F480A0-DA3E-4153-83BE-E8622C24110D}" name="Table1" displayName="Table1" ref="A10:Q25" totalsRowShown="0">
  <autoFilter ref="A10:Q25" xr:uid="{CAE730E5-647C-422F-8030-BF6E90E74D48}"/>
  <tableColumns count="17">
    <tableColumn id="1" xr3:uid="{C2803EE8-41CF-45F1-BC20-C2F7521B9C67}" name="Order_ID"/>
    <tableColumn id="2" xr3:uid="{192AD01D-C120-4F22-BB1F-7518757C5A36}" name="Date" dataDxfId="14"/>
    <tableColumn id="3" xr3:uid="{00CD228F-34F5-4561-AFB9-084AF070ED74}" name="Customer_Name"/>
    <tableColumn id="4" xr3:uid="{5D5DECCA-CB42-40B9-9DAC-61FA92078DDD}" name="Product"/>
    <tableColumn id="5" xr3:uid="{B57E73AA-00C1-4380-8057-6821BF4334B9}" name="Category"/>
    <tableColumn id="6" xr3:uid="{CF06CEFE-7182-4D53-AC24-C3CBCF28AD9F}" name="Region"/>
    <tableColumn id="7" xr3:uid="{898904F4-D194-467E-93BC-88EFB83C87E3}" name="Quantity"/>
    <tableColumn id="8" xr3:uid="{67C610CD-68AA-49C4-9FAF-C8E7D22A0F58}" name="Unit_Price"/>
    <tableColumn id="9" xr3:uid="{85BAC7F9-8EF1-4777-8897-998B5BBA7EC5}" name="Discount"/>
    <tableColumn id="10" xr3:uid="{F98F5FBD-DBEF-4800-A149-1981EE58580E}" name="Revenue" dataDxfId="13">
      <calculatedColumnFormula>Table1[[#This Row],[Quantity]] * Table1[[#This Row],[Unit_Price]] * (1 - Table1[[#This Row],[Discount]] )</calculatedColumnFormula>
    </tableColumn>
    <tableColumn id="11" xr3:uid="{2F0D9EF8-47AF-4E11-B826-3394CEACCCFA}" name="Cost_Price" dataDxfId="12">
      <calculatedColumnFormula>IFERROR(VLOOKUP(Table1[[#This Row],[Product]],Product_Lookup!A:B,2,FALSE), "Not Found")</calculatedColumnFormula>
    </tableColumn>
    <tableColumn id="12" xr3:uid="{E303BE9F-7364-43E7-9E81-6A67C796D5F1}" name="Flag high" dataDxfId="11">
      <calculatedColumnFormula>IF(Table1[[#This Row],[Revenue]]&gt;1000,"yes","no")</calculatedColumnFormula>
    </tableColumn>
    <tableColumn id="13" xr3:uid="{22139E1C-2E83-45DF-8734-73D423615B2B}" name="Profit" dataDxfId="10">
      <calculatedColumnFormula>(Table1[[#This Row],[Unit_Price]]-Table1[[#This Row],[Cost_Price]]) *Table1[[#This Row],[Quantity]] *( 1 -Table1[[#This Row],[Discount]] )</calculatedColumnFormula>
    </tableColumn>
    <tableColumn id="14" xr3:uid="{143FE633-23C7-49AD-BE3F-B493EBFDE56D}" name="Month" dataDxfId="9">
      <calculatedColumnFormula>TEXT(Table1[[#This Row],[Date]],"mmmm")</calculatedColumnFormula>
    </tableColumn>
    <tableColumn id="15" xr3:uid="{B04E6163-DB8B-46E9-9238-CD452088CD98}" name="Day_of_Week" dataDxfId="8">
      <calculatedColumnFormula>TEXT(Table1[[#This Row],[Date]],"dddd")</calculatedColumnFormula>
    </tableColumn>
    <tableColumn id="16" xr3:uid="{1D120EB4-9F61-4006-B7A1-A12722EFEA68}" name="Order_Description" dataDxfId="7">
      <calculatedColumnFormula>C11 &amp; "ordered " &amp;Table1[[#This Row],[Quantity]] &amp; " " &amp; Table1[[#This Row],[Product]]</calculatedColumnFormula>
    </tableColumn>
    <tableColumn id="17" xr3:uid="{2F25A80F-92D5-469B-9C9D-B84F1DE81AA2}" name="Profit_margin" dataDxfId="6">
      <calculatedColumnFormula xml:space="preserve"> (Table1[[#This Row],[Profit]]/Table1[[#This Row],[Revenue]])*100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54A15E3-87AA-4B20-B32C-07AEE97CC10B}" name="Table4" displayName="Table4" ref="M29:N36" totalsRowShown="0">
  <autoFilter ref="M29:N36" xr:uid="{5E4A7376-01F5-4C98-9C3B-679F5EC54C46}"/>
  <tableColumns count="2">
    <tableColumn id="1" xr3:uid="{4E223A99-C551-4349-BFBB-4C52395426D4}" name="helper_column">
      <calculatedColumnFormula>SUMIFS(Table1[Revenue],Table1[Product],"Laptop")</calculatedColumnFormula>
    </tableColumn>
    <tableColumn id="2" xr3:uid="{6842E18F-C450-4EDC-A474-6D2EF2D5D8E2}" name="produc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0193ED-1B34-4CFA-81CF-F63FDFFFE0BD}" name="Table2" displayName="Table2" ref="A1:C8" totalsRowShown="0">
  <autoFilter ref="A1:C8" xr:uid="{555A8295-4A69-42F1-9EEE-BB4790297FC3}"/>
  <tableColumns count="3">
    <tableColumn id="1" xr3:uid="{59A67938-3CD1-4287-83A4-2E6106F84B5D}" name="Product"/>
    <tableColumn id="2" xr3:uid="{EB3AF4BF-FDBB-43A8-9117-3B56CB1C7D36}" name="Cost_Price"/>
    <tableColumn id="3" xr3:uid="{9E391D22-C757-45AE-8668-7F17434B2596}" name="Suppli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DD074A-9F76-4749-A3CD-FD5F5C16333F}" name="Table3" displayName="Table3" ref="D9:E13" totalsRowShown="0">
  <autoFilter ref="D9:E13" xr:uid="{0FE2B2EF-189A-4F37-A086-E1C962AA1D48}"/>
  <tableColumns count="2">
    <tableColumn id="1" xr3:uid="{BD6DB909-D661-4822-9762-7E73129F22A6}" name="Region"/>
    <tableColumn id="2" xr3:uid="{6DB1271D-AABB-41E9-B1F1-9E9A203A874A}" name="Monthly_Tar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C0D0D-17DD-4BE0-A771-7FAE41FED67A}">
  <dimension ref="A1:M10"/>
  <sheetViews>
    <sheetView workbookViewId="0">
      <selection activeCell="E5" sqref="E5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12.109375" bestFit="1" customWidth="1"/>
    <col min="4" max="4" width="23.109375" bestFit="1" customWidth="1"/>
    <col min="5" max="5" width="21.88671875" bestFit="1" customWidth="1"/>
    <col min="6" max="6" width="14.88671875" bestFit="1" customWidth="1"/>
    <col min="7" max="7" width="12.109375" bestFit="1" customWidth="1"/>
    <col min="8" max="8" width="23.109375" bestFit="1" customWidth="1"/>
    <col min="9" max="9" width="21.88671875" bestFit="1" customWidth="1"/>
    <col min="10" max="10" width="19.6640625" bestFit="1" customWidth="1"/>
    <col min="11" max="11" width="16.88671875" bestFit="1" customWidth="1"/>
    <col min="12" max="12" width="27.88671875" bestFit="1" customWidth="1"/>
    <col min="13" max="13" width="26.6640625" bestFit="1" customWidth="1"/>
  </cols>
  <sheetData>
    <row r="1" spans="1:13" x14ac:dyDescent="0.3">
      <c r="A1" s="5" t="s">
        <v>6</v>
      </c>
      <c r="B1" t="s">
        <v>86</v>
      </c>
    </row>
    <row r="3" spans="1:13" x14ac:dyDescent="0.3">
      <c r="B3" s="5" t="s">
        <v>83</v>
      </c>
    </row>
    <row r="4" spans="1:13" x14ac:dyDescent="0.3">
      <c r="B4" t="s">
        <v>27</v>
      </c>
      <c r="F4" t="s">
        <v>33</v>
      </c>
      <c r="J4" t="s">
        <v>84</v>
      </c>
      <c r="K4" t="s">
        <v>85</v>
      </c>
      <c r="L4" t="s">
        <v>87</v>
      </c>
      <c r="M4" t="s">
        <v>89</v>
      </c>
    </row>
    <row r="5" spans="1:13" x14ac:dyDescent="0.3">
      <c r="A5" s="5" t="s">
        <v>79</v>
      </c>
      <c r="B5" t="s">
        <v>82</v>
      </c>
      <c r="C5" t="s">
        <v>81</v>
      </c>
      <c r="D5" t="s">
        <v>88</v>
      </c>
      <c r="E5" t="s">
        <v>90</v>
      </c>
      <c r="F5" t="s">
        <v>82</v>
      </c>
      <c r="G5" t="s">
        <v>81</v>
      </c>
      <c r="H5" t="s">
        <v>88</v>
      </c>
      <c r="I5" t="s">
        <v>90</v>
      </c>
    </row>
    <row r="6" spans="1:13" x14ac:dyDescent="0.3">
      <c r="A6" s="6" t="s">
        <v>2</v>
      </c>
      <c r="B6" s="7">
        <v>0.51827466869249594</v>
      </c>
      <c r="C6" s="2">
        <v>1550</v>
      </c>
      <c r="D6" s="2">
        <v>33.659066232356132</v>
      </c>
      <c r="E6" s="2">
        <v>657.85714285714289</v>
      </c>
      <c r="F6" s="7">
        <v>0.10230438085591288</v>
      </c>
      <c r="G6" s="2">
        <v>288</v>
      </c>
      <c r="H6" s="2">
        <v>31.683168316831683</v>
      </c>
      <c r="I6" s="2">
        <v>227.25</v>
      </c>
      <c r="J6" s="7">
        <v>0.62057904954840892</v>
      </c>
      <c r="K6" s="2">
        <v>1838</v>
      </c>
      <c r="L6" s="2">
        <v>33.333333333333329</v>
      </c>
      <c r="M6" s="2">
        <v>501.27272727272725</v>
      </c>
    </row>
    <row r="7" spans="1:13" x14ac:dyDescent="0.3">
      <c r="A7" s="6" t="s">
        <v>4</v>
      </c>
      <c r="B7" s="7">
        <v>0.17163276216201007</v>
      </c>
      <c r="C7" s="2">
        <v>521</v>
      </c>
      <c r="D7" s="2">
        <v>34.16393442622951</v>
      </c>
      <c r="E7" s="2">
        <v>152.5</v>
      </c>
      <c r="F7" s="7">
        <v>0</v>
      </c>
      <c r="G7" s="2"/>
      <c r="H7" s="2" t="e">
        <v>#DIV/0!</v>
      </c>
      <c r="I7" s="2" t="e">
        <v>#DIV/0!</v>
      </c>
      <c r="J7" s="7">
        <v>0.17163276216201007</v>
      </c>
      <c r="K7" s="2">
        <v>521</v>
      </c>
      <c r="L7" s="2">
        <v>34.16393442622951</v>
      </c>
      <c r="M7" s="2">
        <v>152.5</v>
      </c>
    </row>
    <row r="8" spans="1:13" x14ac:dyDescent="0.3">
      <c r="A8" s="6" t="s">
        <v>5</v>
      </c>
      <c r="B8" s="7">
        <v>2.6729692467854029E-2</v>
      </c>
      <c r="C8" s="2">
        <v>95</v>
      </c>
      <c r="D8" s="2">
        <v>40</v>
      </c>
      <c r="E8" s="2">
        <v>23.75</v>
      </c>
      <c r="F8" s="7">
        <v>4.5018429419543628E-2</v>
      </c>
      <c r="G8" s="2">
        <v>120</v>
      </c>
      <c r="H8" s="2">
        <v>30</v>
      </c>
      <c r="I8" s="2">
        <v>400</v>
      </c>
      <c r="J8" s="7">
        <v>7.1748121887397653E-2</v>
      </c>
      <c r="K8" s="2">
        <v>215</v>
      </c>
      <c r="L8" s="2">
        <v>33.725490196078432</v>
      </c>
      <c r="M8" s="2">
        <v>57.954545454545453</v>
      </c>
    </row>
    <row r="9" spans="1:13" x14ac:dyDescent="0.3">
      <c r="A9" s="6" t="s">
        <v>3</v>
      </c>
      <c r="B9" s="7">
        <v>9.1021636982639764E-2</v>
      </c>
      <c r="C9" s="2">
        <v>287.5</v>
      </c>
      <c r="D9" s="2">
        <v>35.548686244204021</v>
      </c>
      <c r="E9" s="2">
        <v>89.861111111111114</v>
      </c>
      <c r="F9" s="7">
        <v>4.5018429419543628E-2</v>
      </c>
      <c r="G9" s="2">
        <v>160</v>
      </c>
      <c r="H9" s="2">
        <v>40</v>
      </c>
      <c r="I9" s="2">
        <v>200</v>
      </c>
      <c r="J9" s="7">
        <v>0.13604006640218338</v>
      </c>
      <c r="K9" s="2">
        <v>447.5</v>
      </c>
      <c r="L9" s="2">
        <v>37.021716649431227</v>
      </c>
      <c r="M9" s="2">
        <v>109.88636363636364</v>
      </c>
    </row>
    <row r="10" spans="1:13" x14ac:dyDescent="0.3">
      <c r="A10" s="6" t="s">
        <v>80</v>
      </c>
      <c r="B10" s="7">
        <v>0.80765876030499983</v>
      </c>
      <c r="C10" s="2">
        <v>2453.5</v>
      </c>
      <c r="D10" s="2">
        <v>34.189165650583519</v>
      </c>
      <c r="E10" s="2">
        <v>199.34027777777777</v>
      </c>
      <c r="F10" s="7">
        <v>0.19234123969500014</v>
      </c>
      <c r="G10" s="2">
        <v>568</v>
      </c>
      <c r="H10" s="2">
        <v>33.235810415447631</v>
      </c>
      <c r="I10" s="2">
        <v>244.14285714285714</v>
      </c>
      <c r="J10" s="7">
        <v>1</v>
      </c>
      <c r="K10" s="2">
        <v>3021.5</v>
      </c>
      <c r="L10" s="2">
        <v>34.005796122787771</v>
      </c>
      <c r="M10" s="2">
        <v>206.63372093023256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9BC45-992F-4EC4-813D-8B67F5BF6FF9}">
  <dimension ref="A1:R36"/>
  <sheetViews>
    <sheetView tabSelected="1" topLeftCell="A7" zoomScale="85" zoomScaleNormal="85" workbookViewId="0">
      <selection activeCell="L17" sqref="L17"/>
    </sheetView>
  </sheetViews>
  <sheetFormatPr defaultRowHeight="14.4" x14ac:dyDescent="0.3"/>
  <cols>
    <col min="2" max="2" width="15.6640625" customWidth="1"/>
    <col min="3" max="3" width="10.6640625" customWidth="1"/>
    <col min="4" max="4" width="20.21875" customWidth="1"/>
    <col min="5" max="5" width="17" customWidth="1"/>
    <col min="6" max="6" width="9.5546875" customWidth="1"/>
    <col min="7" max="7" width="10.44140625" customWidth="1"/>
    <col min="9" max="9" width="10.21875" customWidth="1"/>
    <col min="10" max="10" width="32.21875" customWidth="1"/>
    <col min="11" max="11" width="10.21875" customWidth="1"/>
    <col min="14" max="14" width="12.6640625" customWidth="1"/>
    <col min="15" max="15" width="31" customWidth="1"/>
    <col min="16" max="16" width="13.21875" customWidth="1"/>
    <col min="17" max="17" width="28.77734375" customWidth="1"/>
  </cols>
  <sheetData>
    <row r="1" spans="1:18" x14ac:dyDescent="0.3">
      <c r="O1" t="s">
        <v>47</v>
      </c>
      <c r="P1" t="s">
        <v>48</v>
      </c>
      <c r="Q1" t="s">
        <v>49</v>
      </c>
    </row>
    <row r="2" spans="1:18" x14ac:dyDescent="0.3">
      <c r="O2">
        <f>SUMIFS(Table1[Revenue],Table1[Region],"Brisbane")</f>
        <v>5514</v>
      </c>
      <c r="P2">
        <f>COUNTIFS(Table1[[#All],[Region]],"Brisbane",Table1[[#All],[Flag high]],"Yes")</f>
        <v>3</v>
      </c>
      <c r="Q2">
        <f>AVERAGEIFS(Table1[[#All],[Revenue]],Table1[[#All],[Category]],"Electronics")</f>
        <v>652.38636363636363</v>
      </c>
    </row>
    <row r="3" spans="1:18" x14ac:dyDescent="0.3">
      <c r="D3" t="s">
        <v>54</v>
      </c>
      <c r="E3">
        <f>SUMIFS(Table1[Revenue],Table1[Category],"Electronics")</f>
        <v>7176.25</v>
      </c>
      <c r="G3" t="s">
        <v>55</v>
      </c>
      <c r="H3">
        <f>SUM(Table1[Revenue])</f>
        <v>8885.25</v>
      </c>
      <c r="I3" t="s">
        <v>58</v>
      </c>
      <c r="J3">
        <f>AVERAGEIFS(Table1[Discount],Table1[Category],"Electronics") *100</f>
        <v>6.8181818181818192</v>
      </c>
      <c r="Q3" t="s">
        <v>0</v>
      </c>
      <c r="R3" t="s">
        <v>52</v>
      </c>
    </row>
    <row r="4" spans="1:18" x14ac:dyDescent="0.3">
      <c r="D4" t="s">
        <v>56</v>
      </c>
      <c r="E4">
        <f>SUMIFS(Table1[Revenue],Table1[Category],"Furniture")</f>
        <v>1709</v>
      </c>
      <c r="G4" t="s">
        <v>57</v>
      </c>
      <c r="H4">
        <f>(E3/H3)*100</f>
        <v>80.765876030499982</v>
      </c>
      <c r="I4" t="s">
        <v>59</v>
      </c>
      <c r="J4">
        <f>AVERAGEIFS(Table1[Discount],Table1[Category],"Furniture") *100</f>
        <v>16.250000000000004</v>
      </c>
      <c r="O4">
        <f>MAX(Table1[Order_Description])</f>
        <v>0</v>
      </c>
      <c r="Q4" t="s">
        <v>2</v>
      </c>
      <c r="R4">
        <f>SUMIFS(Table1[Revenue],Table1[Region],Q4)</f>
        <v>5514</v>
      </c>
    </row>
    <row r="5" spans="1:18" x14ac:dyDescent="0.3">
      <c r="G5" t="s">
        <v>75</v>
      </c>
      <c r="H5">
        <f>(E4/H3)*100</f>
        <v>19.234123969500015</v>
      </c>
      <c r="O5" t="str">
        <f>INDEX(Table1[Product],MATCH(MAX(Table1[Order_Description]),O4,0))</f>
        <v>Laptop</v>
      </c>
      <c r="Q5" t="s">
        <v>3</v>
      </c>
      <c r="R5">
        <f>SUMIFS(Table1[Revenue],Table1[Region],Q5)</f>
        <v>1208.75</v>
      </c>
    </row>
    <row r="6" spans="1:18" x14ac:dyDescent="0.3">
      <c r="Q6" t="s">
        <v>4</v>
      </c>
      <c r="R6">
        <f>SUMIFS(Table1[Revenue],Table1[Region],Q6)</f>
        <v>1525</v>
      </c>
    </row>
    <row r="7" spans="1:18" x14ac:dyDescent="0.3">
      <c r="Q7" t="s">
        <v>5</v>
      </c>
      <c r="R7">
        <f>SUMIFS(Table1[Revenue],Table1[Region],Q7)</f>
        <v>637.5</v>
      </c>
    </row>
    <row r="10" spans="1:18" x14ac:dyDescent="0.3">
      <c r="A10" t="s">
        <v>19</v>
      </c>
      <c r="B10" t="s">
        <v>20</v>
      </c>
      <c r="C10" t="s">
        <v>21</v>
      </c>
      <c r="D10" t="s">
        <v>6</v>
      </c>
      <c r="E10" t="s">
        <v>22</v>
      </c>
      <c r="F10" t="s">
        <v>0</v>
      </c>
      <c r="G10" t="s">
        <v>23</v>
      </c>
      <c r="H10" t="s">
        <v>24</v>
      </c>
      <c r="I10" t="s">
        <v>25</v>
      </c>
      <c r="J10" t="s">
        <v>43</v>
      </c>
      <c r="K10" t="s">
        <v>7</v>
      </c>
      <c r="L10" t="s">
        <v>44</v>
      </c>
      <c r="M10" t="s">
        <v>45</v>
      </c>
      <c r="N10" t="s">
        <v>46</v>
      </c>
      <c r="O10" t="s">
        <v>53</v>
      </c>
      <c r="P10" t="s">
        <v>50</v>
      </c>
      <c r="Q10" t="s">
        <v>51</v>
      </c>
    </row>
    <row r="11" spans="1:18" x14ac:dyDescent="0.3">
      <c r="A11">
        <v>1001</v>
      </c>
      <c r="B11" s="1">
        <v>45306</v>
      </c>
      <c r="C11" t="s">
        <v>26</v>
      </c>
      <c r="D11" t="s">
        <v>9</v>
      </c>
      <c r="E11" t="s">
        <v>27</v>
      </c>
      <c r="F11" t="s">
        <v>2</v>
      </c>
      <c r="G11">
        <v>2</v>
      </c>
      <c r="H11">
        <v>1200</v>
      </c>
      <c r="I11">
        <v>0.1</v>
      </c>
      <c r="J11">
        <f>Table1[[#This Row],[Quantity]] * Table1[[#This Row],[Unit_Price]] * (1 - Table1[[#This Row],[Discount]] )</f>
        <v>2160</v>
      </c>
      <c r="K11">
        <f>IFERROR(VLOOKUP(Table1[[#This Row],[Product]],Product_Lookup!A:B,2,FALSE), "Not Found")</f>
        <v>800</v>
      </c>
      <c r="L11" t="str">
        <f>IF(Table1[[#This Row],[Revenue]]&gt;1000,"yes","no")</f>
        <v>yes</v>
      </c>
      <c r="M11" s="2">
        <f>(Table1[[#This Row],[Unit_Price]]-Table1[[#This Row],[Cost_Price]]) *Table1[[#This Row],[Quantity]] *( 1 -Table1[[#This Row],[Discount]] )</f>
        <v>720</v>
      </c>
      <c r="N11" s="2" t="str">
        <f>TEXT(Table1[[#This Row],[Date]],"mmmm")</f>
        <v>January</v>
      </c>
      <c r="O11" s="2" t="str">
        <f>TEXT(Table1[[#This Row],[Date]],"dddd")</f>
        <v>Monday</v>
      </c>
      <c r="P11" s="2" t="str">
        <f>C11 &amp; "ordered " &amp;Table1[[#This Row],[Quantity]] &amp; " " &amp; Table1[[#This Row],[Product]]</f>
        <v>Alice Johnsonordered 2 Laptop</v>
      </c>
      <c r="Q11" s="2">
        <f xml:space="preserve"> (Table1[[#This Row],[Profit]]/Table1[[#This Row],[Revenue]])*100</f>
        <v>33.333333333333329</v>
      </c>
    </row>
    <row r="12" spans="1:18" x14ac:dyDescent="0.3">
      <c r="A12">
        <v>1002</v>
      </c>
      <c r="B12" s="1">
        <v>45307</v>
      </c>
      <c r="C12" t="s">
        <v>28</v>
      </c>
      <c r="D12" t="s">
        <v>11</v>
      </c>
      <c r="E12" t="s">
        <v>27</v>
      </c>
      <c r="F12" t="s">
        <v>3</v>
      </c>
      <c r="G12">
        <v>5</v>
      </c>
      <c r="H12">
        <v>25</v>
      </c>
      <c r="I12">
        <v>0.05</v>
      </c>
      <c r="J12">
        <f>Table1[[#This Row],[Quantity]] * Table1[[#This Row],[Unit_Price]] * (1 - Table1[[#This Row],[Discount]] )</f>
        <v>118.75</v>
      </c>
      <c r="K12">
        <f>IFERROR(VLOOKUP(Table1[[#This Row],[Product]],Product_Lookup!A:B,2,FALSE), "Not Found")</f>
        <v>15</v>
      </c>
      <c r="L12" t="str">
        <f>IF(Table1[[#This Row],[Revenue]]&gt;1000,"yes","no")</f>
        <v>no</v>
      </c>
      <c r="M12" s="2">
        <f>(Table1[[#This Row],[Unit_Price]]-Table1[[#This Row],[Cost_Price]]) *Table1[[#This Row],[Quantity]] *( 1 -Table1[[#This Row],[Discount]] )</f>
        <v>47.5</v>
      </c>
      <c r="N12" s="2" t="str">
        <f>TEXT(Table1[[#This Row],[Date]],"mmmm")</f>
        <v>January</v>
      </c>
      <c r="O12" s="2" t="str">
        <f>TEXT(Table1[[#This Row],[Date]],"dddd")</f>
        <v>Tuesday</v>
      </c>
      <c r="P12" s="2" t="str">
        <f>C12 &amp; "ordered " &amp;Table1[[#This Row],[Quantity]] &amp; " " &amp; Table1[[#This Row],[Product]]</f>
        <v>Bob Smithordered 5 Mouse</v>
      </c>
      <c r="Q12" s="2">
        <f xml:space="preserve"> (Table1[[#This Row],[Profit]]/Table1[[#This Row],[Revenue]])*100</f>
        <v>40</v>
      </c>
    </row>
    <row r="13" spans="1:18" x14ac:dyDescent="0.3">
      <c r="A13">
        <v>1003</v>
      </c>
      <c r="B13" s="1">
        <v>45308</v>
      </c>
      <c r="C13" t="s">
        <v>29</v>
      </c>
      <c r="D13" t="s">
        <v>12</v>
      </c>
      <c r="E13" t="s">
        <v>27</v>
      </c>
      <c r="F13" t="s">
        <v>2</v>
      </c>
      <c r="G13">
        <v>3</v>
      </c>
      <c r="H13">
        <v>75</v>
      </c>
      <c r="I13">
        <v>0</v>
      </c>
      <c r="J13">
        <f>Table1[[#This Row],[Quantity]] * Table1[[#This Row],[Unit_Price]] * (1 - Table1[[#This Row],[Discount]] )</f>
        <v>225</v>
      </c>
      <c r="K13">
        <f>IFERROR(VLOOKUP(Table1[[#This Row],[Product]],Product_Lookup!A:B,2,FALSE), "Not Found")</f>
        <v>45</v>
      </c>
      <c r="L13" t="str">
        <f>IF(Table1[[#This Row],[Revenue]]&gt;1000,"yes","no")</f>
        <v>no</v>
      </c>
      <c r="M13" s="2">
        <f>(Table1[[#This Row],[Unit_Price]]-Table1[[#This Row],[Cost_Price]]) *Table1[[#This Row],[Quantity]] *( 1 -Table1[[#This Row],[Discount]] )</f>
        <v>90</v>
      </c>
      <c r="N13" s="2" t="str">
        <f>TEXT(Table1[[#This Row],[Date]],"mmmm")</f>
        <v>January</v>
      </c>
      <c r="O13" s="2" t="str">
        <f>TEXT(Table1[[#This Row],[Date]],"dddd")</f>
        <v>Wednesday</v>
      </c>
      <c r="P13" s="2" t="str">
        <f>C13 &amp; "ordered " &amp;Table1[[#This Row],[Quantity]] &amp; " " &amp; Table1[[#This Row],[Product]]</f>
        <v>Charlie Brownordered 3 Keyboard</v>
      </c>
      <c r="Q13" s="2">
        <f xml:space="preserve"> (Table1[[#This Row],[Profit]]/Table1[[#This Row],[Revenue]])*100</f>
        <v>40</v>
      </c>
    </row>
    <row r="14" spans="1:18" x14ac:dyDescent="0.3">
      <c r="A14">
        <v>1004</v>
      </c>
      <c r="B14" s="1">
        <v>45309</v>
      </c>
      <c r="C14" t="s">
        <v>30</v>
      </c>
      <c r="D14" t="s">
        <v>13</v>
      </c>
      <c r="E14" t="s">
        <v>27</v>
      </c>
      <c r="F14" t="s">
        <v>4</v>
      </c>
      <c r="G14">
        <v>1</v>
      </c>
      <c r="H14">
        <v>300</v>
      </c>
      <c r="I14">
        <v>0.15</v>
      </c>
      <c r="J14">
        <f>Table1[[#This Row],[Quantity]] * Table1[[#This Row],[Unit_Price]] * (1 - Table1[[#This Row],[Discount]] )</f>
        <v>255</v>
      </c>
      <c r="K14">
        <f>IFERROR(VLOOKUP(Table1[[#This Row],[Product]],Product_Lookup!A:B,2,FALSE), "Not Found")</f>
        <v>200</v>
      </c>
      <c r="L14" t="str">
        <f>IF(Table1[[#This Row],[Revenue]]&gt;1000,"yes","no")</f>
        <v>no</v>
      </c>
      <c r="M14" s="2">
        <f>(Table1[[#This Row],[Unit_Price]]-Table1[[#This Row],[Cost_Price]]) *Table1[[#This Row],[Quantity]] *( 1 -Table1[[#This Row],[Discount]] )</f>
        <v>85</v>
      </c>
      <c r="N14" s="2" t="str">
        <f>TEXT(Table1[[#This Row],[Date]],"mmmm")</f>
        <v>January</v>
      </c>
      <c r="O14" s="2" t="str">
        <f>TEXT(Table1[[#This Row],[Date]],"dddd")</f>
        <v>Thursday</v>
      </c>
      <c r="P14" s="2" t="str">
        <f>C14 &amp; "ordered " &amp;Table1[[#This Row],[Quantity]] &amp; " " &amp; Table1[[#This Row],[Product]]</f>
        <v>David Wilsonordered 1 Monitor</v>
      </c>
      <c r="Q14" s="2">
        <f xml:space="preserve"> (Table1[[#This Row],[Profit]]/Table1[[#This Row],[Revenue]])*100</f>
        <v>33.333333333333329</v>
      </c>
    </row>
    <row r="15" spans="1:18" x14ac:dyDescent="0.3">
      <c r="A15">
        <v>1005</v>
      </c>
      <c r="B15" s="1">
        <v>45310</v>
      </c>
      <c r="C15" t="s">
        <v>31</v>
      </c>
      <c r="D15" t="s">
        <v>9</v>
      </c>
      <c r="E15" t="s">
        <v>27</v>
      </c>
      <c r="F15" t="s">
        <v>2</v>
      </c>
      <c r="G15">
        <v>1</v>
      </c>
      <c r="H15">
        <v>1200</v>
      </c>
      <c r="I15">
        <v>0.1</v>
      </c>
      <c r="J15">
        <f>Table1[[#This Row],[Quantity]] * Table1[[#This Row],[Unit_Price]] * (1 - Table1[[#This Row],[Discount]] )</f>
        <v>1080</v>
      </c>
      <c r="K15">
        <f>IFERROR(VLOOKUP(Table1[[#This Row],[Product]],Product_Lookup!A:B,2,FALSE), "Not Found")</f>
        <v>800</v>
      </c>
      <c r="L15" t="str">
        <f>IF(Table1[[#This Row],[Revenue]]&gt;1000,"yes","no")</f>
        <v>yes</v>
      </c>
      <c r="M15" s="2">
        <f>(Table1[[#This Row],[Unit_Price]]-Table1[[#This Row],[Cost_Price]]) *Table1[[#This Row],[Quantity]] *( 1 -Table1[[#This Row],[Discount]] )</f>
        <v>360</v>
      </c>
      <c r="N15" s="2" t="str">
        <f>TEXT(Table1[[#This Row],[Date]],"mmmm")</f>
        <v>January</v>
      </c>
      <c r="O15" s="2" t="str">
        <f>TEXT(Table1[[#This Row],[Date]],"dddd")</f>
        <v>Friday</v>
      </c>
      <c r="P15" s="2" t="str">
        <f>C15 &amp; "ordered " &amp;Table1[[#This Row],[Quantity]] &amp; " " &amp; Table1[[#This Row],[Product]]</f>
        <v>Eve Davisordered 1 Laptop</v>
      </c>
      <c r="Q15" s="2">
        <f xml:space="preserve"> (Table1[[#This Row],[Profit]]/Table1[[#This Row],[Revenue]])*100</f>
        <v>33.333333333333329</v>
      </c>
    </row>
    <row r="16" spans="1:18" x14ac:dyDescent="0.3">
      <c r="A16">
        <v>1006</v>
      </c>
      <c r="B16" s="1">
        <v>45311</v>
      </c>
      <c r="C16" t="s">
        <v>32</v>
      </c>
      <c r="D16" t="s">
        <v>15</v>
      </c>
      <c r="E16" t="s">
        <v>33</v>
      </c>
      <c r="F16" t="s">
        <v>3</v>
      </c>
      <c r="G16">
        <v>2</v>
      </c>
      <c r="H16">
        <v>250</v>
      </c>
      <c r="I16">
        <v>0.2</v>
      </c>
      <c r="J16">
        <f>Table1[[#This Row],[Quantity]] * Table1[[#This Row],[Unit_Price]] * (1 - Table1[[#This Row],[Discount]] )</f>
        <v>400</v>
      </c>
      <c r="K16">
        <f>IFERROR(VLOOKUP(Table1[[#This Row],[Product]],Product_Lookup!A:B,2,FALSE), "Not Found")</f>
        <v>150</v>
      </c>
      <c r="L16" t="str">
        <f>IF(Table1[[#This Row],[Revenue]]&gt;1000,"yes","no")</f>
        <v>no</v>
      </c>
      <c r="M16" s="2">
        <f>(Table1[[#This Row],[Unit_Price]]-Table1[[#This Row],[Cost_Price]]) *Table1[[#This Row],[Quantity]] *( 1 -Table1[[#This Row],[Discount]] )</f>
        <v>160</v>
      </c>
      <c r="N16" s="2" t="str">
        <f>TEXT(Table1[[#This Row],[Date]],"mmmm")</f>
        <v>January</v>
      </c>
      <c r="O16" s="2" t="str">
        <f>TEXT(Table1[[#This Row],[Date]],"dddd")</f>
        <v>Saturday</v>
      </c>
      <c r="P16" s="2" t="str">
        <f>C16 &amp; "ordered " &amp;Table1[[#This Row],[Quantity]] &amp; " " &amp; Table1[[#This Row],[Product]]</f>
        <v>Frank Millerordered 2 Desk Chair</v>
      </c>
      <c r="Q16" s="2">
        <f xml:space="preserve"> (Table1[[#This Row],[Profit]]/Table1[[#This Row],[Revenue]])*100</f>
        <v>40</v>
      </c>
    </row>
    <row r="17" spans="1:17" x14ac:dyDescent="0.3">
      <c r="A17">
        <v>1007</v>
      </c>
      <c r="B17" s="1">
        <v>45312</v>
      </c>
      <c r="C17" t="s">
        <v>34</v>
      </c>
      <c r="D17" t="s">
        <v>17</v>
      </c>
      <c r="E17" t="s">
        <v>33</v>
      </c>
      <c r="F17" t="s">
        <v>2</v>
      </c>
      <c r="G17">
        <v>1</v>
      </c>
      <c r="H17">
        <v>500</v>
      </c>
      <c r="I17">
        <v>0.1</v>
      </c>
      <c r="J17">
        <f>Table1[[#This Row],[Quantity]] * Table1[[#This Row],[Unit_Price]] * (1 - Table1[[#This Row],[Discount]] )</f>
        <v>450</v>
      </c>
      <c r="K17">
        <f>IFERROR(VLOOKUP(Table1[[#This Row],[Product]],Product_Lookup!A:B,2,FALSE), "Not Found")</f>
        <v>350</v>
      </c>
      <c r="L17" t="str">
        <f>IF(Table1[[#This Row],[Revenue]]&gt;1000,"yes","no")</f>
        <v>no</v>
      </c>
      <c r="M17" s="2">
        <f>(Table1[[#This Row],[Unit_Price]]-Table1[[#This Row],[Cost_Price]]) *Table1[[#This Row],[Quantity]] *( 1 -Table1[[#This Row],[Discount]] )</f>
        <v>135</v>
      </c>
      <c r="N17" s="2" t="str">
        <f>TEXT(Table1[[#This Row],[Date]],"mmmm")</f>
        <v>January</v>
      </c>
      <c r="O17" s="2" t="str">
        <f>TEXT(Table1[[#This Row],[Date]],"dddd")</f>
        <v>Sunday</v>
      </c>
      <c r="P17" s="2" t="str">
        <f>C17 &amp; "ordered " &amp;Table1[[#This Row],[Quantity]] &amp; " " &amp; Table1[[#This Row],[Product]]</f>
        <v>Grace Mooreordered 1 Standing Desk</v>
      </c>
      <c r="Q17" s="2">
        <f xml:space="preserve"> (Table1[[#This Row],[Profit]]/Table1[[#This Row],[Revenue]])*100</f>
        <v>30</v>
      </c>
    </row>
    <row r="18" spans="1:17" x14ac:dyDescent="0.3">
      <c r="A18">
        <v>1008</v>
      </c>
      <c r="B18" s="1">
        <v>45313</v>
      </c>
      <c r="C18" t="s">
        <v>35</v>
      </c>
      <c r="D18" t="s">
        <v>11</v>
      </c>
      <c r="E18" t="s">
        <v>27</v>
      </c>
      <c r="F18" t="s">
        <v>5</v>
      </c>
      <c r="G18">
        <v>10</v>
      </c>
      <c r="H18">
        <v>25</v>
      </c>
      <c r="I18">
        <v>0.05</v>
      </c>
      <c r="J18">
        <f>Table1[[#This Row],[Quantity]] * Table1[[#This Row],[Unit_Price]] * (1 - Table1[[#This Row],[Discount]] )</f>
        <v>237.5</v>
      </c>
      <c r="K18">
        <f>IFERROR(VLOOKUP(Table1[[#This Row],[Product]],Product_Lookup!A:B,2,FALSE), "Not Found")</f>
        <v>15</v>
      </c>
      <c r="L18" t="str">
        <f>IF(Table1[[#This Row],[Revenue]]&gt;1000,"yes","no")</f>
        <v>no</v>
      </c>
      <c r="M18" s="2">
        <f>(Table1[[#This Row],[Unit_Price]]-Table1[[#This Row],[Cost_Price]]) *Table1[[#This Row],[Quantity]] *( 1 -Table1[[#This Row],[Discount]] )</f>
        <v>95</v>
      </c>
      <c r="N18" s="2" t="str">
        <f>TEXT(Table1[[#This Row],[Date]],"mmmm")</f>
        <v>January</v>
      </c>
      <c r="O18" s="2" t="str">
        <f>TEXT(Table1[[#This Row],[Date]],"dddd")</f>
        <v>Monday</v>
      </c>
      <c r="P18" s="2" t="str">
        <f>C18 &amp; "ordered " &amp;Table1[[#This Row],[Quantity]] &amp; " " &amp; Table1[[#This Row],[Product]]</f>
        <v>Henry Taylorordered 10 Mouse</v>
      </c>
      <c r="Q18" s="2">
        <f xml:space="preserve"> (Table1[[#This Row],[Profit]]/Table1[[#This Row],[Revenue]])*100</f>
        <v>40</v>
      </c>
    </row>
    <row r="19" spans="1:17" x14ac:dyDescent="0.3">
      <c r="A19">
        <v>1009</v>
      </c>
      <c r="B19" s="1">
        <v>45314</v>
      </c>
      <c r="C19" t="s">
        <v>36</v>
      </c>
      <c r="D19" t="s">
        <v>12</v>
      </c>
      <c r="E19" t="s">
        <v>27</v>
      </c>
      <c r="F19" t="s">
        <v>3</v>
      </c>
      <c r="G19">
        <v>2</v>
      </c>
      <c r="H19">
        <v>75</v>
      </c>
      <c r="I19">
        <v>0</v>
      </c>
      <c r="J19">
        <f>Table1[[#This Row],[Quantity]] * Table1[[#This Row],[Unit_Price]] * (1 - Table1[[#This Row],[Discount]] )</f>
        <v>150</v>
      </c>
      <c r="K19">
        <f>IFERROR(VLOOKUP(Table1[[#This Row],[Product]],Product_Lookup!A:B,2,FALSE), "Not Found")</f>
        <v>45</v>
      </c>
      <c r="L19" t="str">
        <f>IF(Table1[[#This Row],[Revenue]]&gt;1000,"yes","no")</f>
        <v>no</v>
      </c>
      <c r="M19" s="2">
        <f>(Table1[[#This Row],[Unit_Price]]-Table1[[#This Row],[Cost_Price]]) *Table1[[#This Row],[Quantity]] *( 1 -Table1[[#This Row],[Discount]] )</f>
        <v>60</v>
      </c>
      <c r="N19" s="2" t="str">
        <f>TEXT(Table1[[#This Row],[Date]],"mmmm")</f>
        <v>January</v>
      </c>
      <c r="O19" s="2" t="str">
        <f>TEXT(Table1[[#This Row],[Date]],"dddd")</f>
        <v>Tuesday</v>
      </c>
      <c r="P19" s="2" t="str">
        <f>C19 &amp; "ordered " &amp;Table1[[#This Row],[Quantity]] &amp; " " &amp; Table1[[#This Row],[Product]]</f>
        <v>Ivy Wilsonordered 2 Keyboard</v>
      </c>
      <c r="Q19" s="2">
        <f xml:space="preserve"> (Table1[[#This Row],[Profit]]/Table1[[#This Row],[Revenue]])*100</f>
        <v>40</v>
      </c>
    </row>
    <row r="20" spans="1:17" x14ac:dyDescent="0.3">
      <c r="A20">
        <v>1010</v>
      </c>
      <c r="B20" s="1">
        <v>45315</v>
      </c>
      <c r="C20" t="s">
        <v>37</v>
      </c>
      <c r="D20" t="s">
        <v>9</v>
      </c>
      <c r="E20" t="s">
        <v>27</v>
      </c>
      <c r="F20" t="s">
        <v>4</v>
      </c>
      <c r="G20">
        <v>1</v>
      </c>
      <c r="H20">
        <v>1200</v>
      </c>
      <c r="I20">
        <v>0.1</v>
      </c>
      <c r="J20">
        <f>Table1[[#This Row],[Quantity]] * Table1[[#This Row],[Unit_Price]] * (1 - Table1[[#This Row],[Discount]] )</f>
        <v>1080</v>
      </c>
      <c r="K20">
        <f>IFERROR(VLOOKUP(Table1[[#This Row],[Product]],Product_Lookup!A:B,2,FALSE), "Not Found")</f>
        <v>800</v>
      </c>
      <c r="L20" t="str">
        <f>IF(Table1[[#This Row],[Revenue]]&gt;1000,"yes","no")</f>
        <v>yes</v>
      </c>
      <c r="M20" s="2">
        <f>(Table1[[#This Row],[Unit_Price]]-Table1[[#This Row],[Cost_Price]]) *Table1[[#This Row],[Quantity]] *( 1 -Table1[[#This Row],[Discount]] )</f>
        <v>360</v>
      </c>
      <c r="N20" s="2" t="str">
        <f>TEXT(Table1[[#This Row],[Date]],"mmmm")</f>
        <v>January</v>
      </c>
      <c r="O20" s="2" t="str">
        <f>TEXT(Table1[[#This Row],[Date]],"dddd")</f>
        <v>Wednesday</v>
      </c>
      <c r="P20" s="2" t="str">
        <f>C20 &amp; "ordered " &amp;Table1[[#This Row],[Quantity]] &amp; " " &amp; Table1[[#This Row],[Product]]</f>
        <v>Jack Brownordered 1 Laptop</v>
      </c>
      <c r="Q20" s="2">
        <f xml:space="preserve"> (Table1[[#This Row],[Profit]]/Table1[[#This Row],[Revenue]])*100</f>
        <v>33.333333333333329</v>
      </c>
    </row>
    <row r="21" spans="1:17" x14ac:dyDescent="0.3">
      <c r="A21">
        <v>1011</v>
      </c>
      <c r="B21" s="1">
        <v>45316</v>
      </c>
      <c r="C21" t="s">
        <v>38</v>
      </c>
      <c r="D21" t="s">
        <v>18</v>
      </c>
      <c r="E21" t="s">
        <v>33</v>
      </c>
      <c r="F21" t="s">
        <v>2</v>
      </c>
      <c r="G21">
        <v>3</v>
      </c>
      <c r="H21">
        <v>180</v>
      </c>
      <c r="I21">
        <v>0.15</v>
      </c>
      <c r="J21">
        <f>Table1[[#This Row],[Quantity]] * Table1[[#This Row],[Unit_Price]] * (1 - Table1[[#This Row],[Discount]] )</f>
        <v>459</v>
      </c>
      <c r="K21">
        <f>IFERROR(VLOOKUP(Table1[[#This Row],[Product]],Product_Lookup!A:B,2,FALSE), "Not Found")</f>
        <v>120</v>
      </c>
      <c r="L21" t="str">
        <f>IF(Table1[[#This Row],[Revenue]]&gt;1000,"yes","no")</f>
        <v>no</v>
      </c>
      <c r="M21" s="2">
        <f>(Table1[[#This Row],[Unit_Price]]-Table1[[#This Row],[Cost_Price]]) *Table1[[#This Row],[Quantity]] *( 1 -Table1[[#This Row],[Discount]] )</f>
        <v>153</v>
      </c>
      <c r="N21" s="2" t="str">
        <f>TEXT(Table1[[#This Row],[Date]],"mmmm")</f>
        <v>January</v>
      </c>
      <c r="O21" s="2" t="str">
        <f>TEXT(Table1[[#This Row],[Date]],"dddd")</f>
        <v>Thursday</v>
      </c>
      <c r="P21" s="2" t="str">
        <f>C21 &amp; "ordered " &amp;Table1[[#This Row],[Quantity]] &amp; " " &amp; Table1[[#This Row],[Product]]</f>
        <v>Kelly Davisordered 3 Office Chair</v>
      </c>
      <c r="Q21" s="2">
        <f xml:space="preserve"> (Table1[[#This Row],[Profit]]/Table1[[#This Row],[Revenue]])*100</f>
        <v>33.333333333333329</v>
      </c>
    </row>
    <row r="22" spans="1:17" x14ac:dyDescent="0.3">
      <c r="A22">
        <v>1012</v>
      </c>
      <c r="B22" s="1">
        <v>45317</v>
      </c>
      <c r="C22" t="s">
        <v>39</v>
      </c>
      <c r="D22" t="s">
        <v>13</v>
      </c>
      <c r="E22" t="s">
        <v>27</v>
      </c>
      <c r="F22" t="s">
        <v>3</v>
      </c>
      <c r="G22">
        <v>2</v>
      </c>
      <c r="H22">
        <v>300</v>
      </c>
      <c r="I22">
        <v>0.1</v>
      </c>
      <c r="J22">
        <f>Table1[[#This Row],[Quantity]] * Table1[[#This Row],[Unit_Price]] * (1 - Table1[[#This Row],[Discount]] )</f>
        <v>540</v>
      </c>
      <c r="K22">
        <f>IFERROR(VLOOKUP(Table1[[#This Row],[Product]],Product_Lookup!A:B,2,FALSE), "Not Found")</f>
        <v>200</v>
      </c>
      <c r="L22" t="str">
        <f>IF(Table1[[#This Row],[Revenue]]&gt;1000,"yes","no")</f>
        <v>no</v>
      </c>
      <c r="M22" s="2">
        <f>(Table1[[#This Row],[Unit_Price]]-Table1[[#This Row],[Cost_Price]]) *Table1[[#This Row],[Quantity]] *( 1 -Table1[[#This Row],[Discount]] )</f>
        <v>180</v>
      </c>
      <c r="N22" s="2" t="str">
        <f>TEXT(Table1[[#This Row],[Date]],"mmmm")</f>
        <v>January</v>
      </c>
      <c r="O22" s="2" t="str">
        <f>TEXT(Table1[[#This Row],[Date]],"dddd")</f>
        <v>Friday</v>
      </c>
      <c r="P22" s="2" t="str">
        <f>C22 &amp; "ordered " &amp;Table1[[#This Row],[Quantity]] &amp; " " &amp; Table1[[#This Row],[Product]]</f>
        <v>Liam Smithordered 2 Monitor</v>
      </c>
      <c r="Q22" s="2">
        <f xml:space="preserve"> (Table1[[#This Row],[Profit]]/Table1[[#This Row],[Revenue]])*100</f>
        <v>33.333333333333329</v>
      </c>
    </row>
    <row r="23" spans="1:17" x14ac:dyDescent="0.3">
      <c r="A23">
        <v>1013</v>
      </c>
      <c r="B23" s="1">
        <v>45318</v>
      </c>
      <c r="C23" t="s">
        <v>40</v>
      </c>
      <c r="D23" t="s">
        <v>9</v>
      </c>
      <c r="E23" t="s">
        <v>27</v>
      </c>
      <c r="F23" t="s">
        <v>2</v>
      </c>
      <c r="G23">
        <v>1</v>
      </c>
      <c r="H23">
        <v>1200</v>
      </c>
      <c r="I23">
        <v>0.05</v>
      </c>
      <c r="J23">
        <f>Table1[[#This Row],[Quantity]] * Table1[[#This Row],[Unit_Price]] * (1 - Table1[[#This Row],[Discount]] )</f>
        <v>1140</v>
      </c>
      <c r="K23">
        <f>IFERROR(VLOOKUP(Table1[[#This Row],[Product]],Product_Lookup!A:B,2,FALSE), "Not Found")</f>
        <v>800</v>
      </c>
      <c r="L23" t="str">
        <f>IF(Table1[[#This Row],[Revenue]]&gt;1000,"yes","no")</f>
        <v>yes</v>
      </c>
      <c r="M23" s="2">
        <f>(Table1[[#This Row],[Unit_Price]]-Table1[[#This Row],[Cost_Price]]) *Table1[[#This Row],[Quantity]] *( 1 -Table1[[#This Row],[Discount]] )</f>
        <v>380</v>
      </c>
      <c r="N23" s="2" t="str">
        <f>TEXT(Table1[[#This Row],[Date]],"mmmm")</f>
        <v>January</v>
      </c>
      <c r="O23" s="2" t="str">
        <f>TEXT(Table1[[#This Row],[Date]],"dddd")</f>
        <v>Saturday</v>
      </c>
      <c r="P23" s="2" t="str">
        <f>C23 &amp; "ordered " &amp;Table1[[#This Row],[Quantity]] &amp; " " &amp; Table1[[#This Row],[Product]]</f>
        <v>Mia Johnsonordered 1 Laptop</v>
      </c>
      <c r="Q23" s="2">
        <f xml:space="preserve"> (Table1[[#This Row],[Profit]]/Table1[[#This Row],[Revenue]])*100</f>
        <v>33.333333333333329</v>
      </c>
    </row>
    <row r="24" spans="1:17" x14ac:dyDescent="0.3">
      <c r="A24">
        <v>1014</v>
      </c>
      <c r="B24" s="1">
        <v>45319</v>
      </c>
      <c r="C24" t="s">
        <v>41</v>
      </c>
      <c r="D24" t="s">
        <v>17</v>
      </c>
      <c r="E24" t="s">
        <v>33</v>
      </c>
      <c r="F24" t="s">
        <v>5</v>
      </c>
      <c r="G24">
        <v>1</v>
      </c>
      <c r="H24">
        <v>500</v>
      </c>
      <c r="I24">
        <v>0.2</v>
      </c>
      <c r="J24">
        <f>Table1[[#This Row],[Quantity]] * Table1[[#This Row],[Unit_Price]] * (1 - Table1[[#This Row],[Discount]] )</f>
        <v>400</v>
      </c>
      <c r="K24">
        <f>IFERROR(VLOOKUP(Table1[[#This Row],[Product]],Product_Lookup!A:B,2,FALSE), "Not Found")</f>
        <v>350</v>
      </c>
      <c r="L24" t="str">
        <f>IF(Table1[[#This Row],[Revenue]]&gt;1000,"yes","no")</f>
        <v>no</v>
      </c>
      <c r="M24" s="2">
        <f>(Table1[[#This Row],[Unit_Price]]-Table1[[#This Row],[Cost_Price]]) *Table1[[#This Row],[Quantity]] *( 1 -Table1[[#This Row],[Discount]] )</f>
        <v>120</v>
      </c>
      <c r="N24" s="2" t="str">
        <f>TEXT(Table1[[#This Row],[Date]],"mmmm")</f>
        <v>January</v>
      </c>
      <c r="O24" s="2" t="str">
        <f>TEXT(Table1[[#This Row],[Date]],"dddd")</f>
        <v>Sunday</v>
      </c>
      <c r="P24" s="2" t="str">
        <f>C24 &amp; "ordered " &amp;Table1[[#This Row],[Quantity]] &amp; " " &amp; Table1[[#This Row],[Product]]</f>
        <v>Noah Wilsonordered 1 Standing Desk</v>
      </c>
      <c r="Q24" s="2">
        <f xml:space="preserve"> (Table1[[#This Row],[Profit]]/Table1[[#This Row],[Revenue]])*100</f>
        <v>30</v>
      </c>
    </row>
    <row r="25" spans="1:17" x14ac:dyDescent="0.3">
      <c r="A25">
        <v>1015</v>
      </c>
      <c r="B25" s="1">
        <v>45320</v>
      </c>
      <c r="C25" t="s">
        <v>42</v>
      </c>
      <c r="D25" t="s">
        <v>11</v>
      </c>
      <c r="E25" t="s">
        <v>27</v>
      </c>
      <c r="F25" t="s">
        <v>4</v>
      </c>
      <c r="G25">
        <v>8</v>
      </c>
      <c r="H25">
        <v>25</v>
      </c>
      <c r="I25">
        <v>0.05</v>
      </c>
      <c r="J25">
        <f>Table1[[#This Row],[Quantity]] * Table1[[#This Row],[Unit_Price]] * (1 - Table1[[#This Row],[Discount]] )</f>
        <v>190</v>
      </c>
      <c r="K25">
        <f>IFERROR(VLOOKUP(Table1[[#This Row],[Product]],Product_Lookup!A:B,2,FALSE), "Not Found")</f>
        <v>15</v>
      </c>
      <c r="L25" t="str">
        <f>IF(Table1[[#This Row],[Revenue]]&gt;1000,"yes","no")</f>
        <v>no</v>
      </c>
      <c r="M25" s="2">
        <f>(Table1[[#This Row],[Unit_Price]]-Table1[[#This Row],[Cost_Price]]) *Table1[[#This Row],[Quantity]] *( 1 -Table1[[#This Row],[Discount]] )</f>
        <v>76</v>
      </c>
      <c r="N25" s="2" t="str">
        <f>TEXT(Table1[[#This Row],[Date]],"mmmm")</f>
        <v>January</v>
      </c>
      <c r="O25" s="2" t="str">
        <f>TEXT(Table1[[#This Row],[Date]],"dddd")</f>
        <v>Monday</v>
      </c>
      <c r="P25" s="2" t="str">
        <f>C25 &amp; "ordered " &amp;Table1[[#This Row],[Quantity]] &amp; " " &amp; Table1[[#This Row],[Product]]</f>
        <v>Olivia Brownordered 8 Mouse</v>
      </c>
      <c r="Q25" s="2">
        <f xml:space="preserve"> (Table1[[#This Row],[Profit]]/Table1[[#This Row],[Revenue]])*100</f>
        <v>40</v>
      </c>
    </row>
    <row r="28" spans="1:17" x14ac:dyDescent="0.3">
      <c r="J28">
        <f>COUNTIFS(Table1[Day_of_Week],"Monday")</f>
        <v>3</v>
      </c>
    </row>
    <row r="29" spans="1:17" x14ac:dyDescent="0.3">
      <c r="E29">
        <f>MATCH(MAX(Table1[Revenue]),Table1[Revenue],0)</f>
        <v>1</v>
      </c>
      <c r="J29">
        <f>COUNTIFS(Table1[Day_of_Week],"Tuesday")</f>
        <v>2</v>
      </c>
      <c r="M29" t="s">
        <v>70</v>
      </c>
      <c r="N29" t="s">
        <v>77</v>
      </c>
      <c r="P29">
        <f>SUMIFS(Table1[Revenue],Table1[Region],"Sydney",Table1[Category],"Electronics")</f>
        <v>808.75</v>
      </c>
    </row>
    <row r="30" spans="1:17" x14ac:dyDescent="0.3">
      <c r="E30" t="str">
        <f>INDEX(Table1[Region],2)</f>
        <v>Sydney</v>
      </c>
      <c r="J30">
        <f>COUNTIFS(Table1[Day_of_Week],"Monday")</f>
        <v>3</v>
      </c>
      <c r="M30">
        <f>SUMIFS(Table1[Revenue],Table1[Product],"Laptop")</f>
        <v>5460</v>
      </c>
      <c r="N30" t="s">
        <v>9</v>
      </c>
      <c r="P30">
        <f>AVERAGEIFS(Table1[Revenue],Table1[Region],"Brisbane")</f>
        <v>919</v>
      </c>
    </row>
    <row r="31" spans="1:17" x14ac:dyDescent="0.3">
      <c r="E31" t="str">
        <f>INDEX(Table1[Region],MATCH(MAX(Table1[Revenue]),Table1[Revenue],0))</f>
        <v>Brisbane</v>
      </c>
      <c r="J31">
        <f>COUNTIFS(Table1[Day_of_Week],"Monday")</f>
        <v>3</v>
      </c>
      <c r="M31">
        <f>SUMIFS(Table1[Revenue],Table1[Product],"Mouse")</f>
        <v>546.25</v>
      </c>
      <c r="N31" t="s">
        <v>11</v>
      </c>
      <c r="P31">
        <f>SUMIFS(Table1[Quantity],Table1[Product],"Laptop")</f>
        <v>5</v>
      </c>
    </row>
    <row r="32" spans="1:17" x14ac:dyDescent="0.3">
      <c r="M32">
        <f>SUMIFS(Table1[Revenue],Table1[Product],"Keyboard")</f>
        <v>375</v>
      </c>
      <c r="N32" t="s">
        <v>12</v>
      </c>
    </row>
    <row r="33" spans="13:14" x14ac:dyDescent="0.3">
      <c r="M33">
        <f>SUMIFS(Table1[Revenue],Table1[Product],"Monitor")</f>
        <v>795</v>
      </c>
      <c r="N33" t="s">
        <v>13</v>
      </c>
    </row>
    <row r="34" spans="13:14" x14ac:dyDescent="0.3">
      <c r="M34">
        <f>SUMIFS(Table1[Revenue],Table1[Product],"Desk Chair")</f>
        <v>400</v>
      </c>
      <c r="N34" t="s">
        <v>15</v>
      </c>
    </row>
    <row r="35" spans="13:14" x14ac:dyDescent="0.3">
      <c r="M35">
        <f>SUMIFS(Table1[Revenue],Table1[Product],"Standing Desk")</f>
        <v>850</v>
      </c>
      <c r="N35" t="s">
        <v>78</v>
      </c>
    </row>
    <row r="36" spans="13:14" x14ac:dyDescent="0.3">
      <c r="M36">
        <f>SUMIFS(Table1[Revenue],Table1[Product],"Office Chair")</f>
        <v>459</v>
      </c>
      <c r="N36" t="s">
        <v>18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22863-C8C7-41DC-B469-3793B9C22259}">
  <dimension ref="A1:C8"/>
  <sheetViews>
    <sheetView workbookViewId="0">
      <selection activeCell="A3" sqref="A3"/>
    </sheetView>
  </sheetViews>
  <sheetFormatPr defaultRowHeight="14.4" x14ac:dyDescent="0.3"/>
  <cols>
    <col min="3" max="3" width="25.109375" customWidth="1"/>
    <col min="4" max="4" width="9.5546875" customWidth="1"/>
    <col min="5" max="5" width="11.6640625" customWidth="1"/>
    <col min="6" max="6" width="21.5546875" customWidth="1"/>
  </cols>
  <sheetData>
    <row r="1" spans="1:3" x14ac:dyDescent="0.3">
      <c r="A1" t="s">
        <v>6</v>
      </c>
      <c r="B1" t="s">
        <v>7</v>
      </c>
      <c r="C1" t="s">
        <v>8</v>
      </c>
    </row>
    <row r="2" spans="1:3" x14ac:dyDescent="0.3">
      <c r="A2" t="s">
        <v>9</v>
      </c>
      <c r="B2">
        <v>800</v>
      </c>
      <c r="C2" t="s">
        <v>10</v>
      </c>
    </row>
    <row r="3" spans="1:3" x14ac:dyDescent="0.3">
      <c r="A3" t="s">
        <v>11</v>
      </c>
      <c r="B3">
        <v>15</v>
      </c>
      <c r="C3" t="s">
        <v>10</v>
      </c>
    </row>
    <row r="4" spans="1:3" x14ac:dyDescent="0.3">
      <c r="A4" t="s">
        <v>12</v>
      </c>
      <c r="B4">
        <v>45</v>
      </c>
      <c r="C4" t="s">
        <v>10</v>
      </c>
    </row>
    <row r="5" spans="1:3" x14ac:dyDescent="0.3">
      <c r="A5" t="s">
        <v>13</v>
      </c>
      <c r="B5">
        <v>200</v>
      </c>
      <c r="C5" t="s">
        <v>14</v>
      </c>
    </row>
    <row r="6" spans="1:3" x14ac:dyDescent="0.3">
      <c r="A6" t="s">
        <v>15</v>
      </c>
      <c r="B6">
        <v>150</v>
      </c>
      <c r="C6" t="s">
        <v>16</v>
      </c>
    </row>
    <row r="7" spans="1:3" x14ac:dyDescent="0.3">
      <c r="A7" t="s">
        <v>17</v>
      </c>
      <c r="B7">
        <v>350</v>
      </c>
      <c r="C7" t="s">
        <v>16</v>
      </c>
    </row>
    <row r="8" spans="1:3" x14ac:dyDescent="0.3">
      <c r="A8" t="s">
        <v>18</v>
      </c>
      <c r="B8">
        <v>120</v>
      </c>
      <c r="C8" t="s">
        <v>16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6D481-C177-4D60-AB3C-1C6A4BEC98BF}">
  <dimension ref="D9:E13"/>
  <sheetViews>
    <sheetView workbookViewId="0">
      <selection activeCell="G13" sqref="G13"/>
    </sheetView>
  </sheetViews>
  <sheetFormatPr defaultRowHeight="14.4" x14ac:dyDescent="0.3"/>
  <cols>
    <col min="5" max="5" width="16.44140625" customWidth="1"/>
  </cols>
  <sheetData>
    <row r="9" spans="4:5" x14ac:dyDescent="0.3">
      <c r="D9" t="s">
        <v>0</v>
      </c>
      <c r="E9" t="s">
        <v>1</v>
      </c>
    </row>
    <row r="10" spans="4:5" x14ac:dyDescent="0.3">
      <c r="D10" t="s">
        <v>2</v>
      </c>
      <c r="E10">
        <v>10000</v>
      </c>
    </row>
    <row r="11" spans="4:5" x14ac:dyDescent="0.3">
      <c r="D11" t="s">
        <v>3</v>
      </c>
      <c r="E11">
        <v>12000</v>
      </c>
    </row>
    <row r="12" spans="4:5" x14ac:dyDescent="0.3">
      <c r="D12" t="s">
        <v>4</v>
      </c>
      <c r="E12">
        <v>8000</v>
      </c>
    </row>
    <row r="13" spans="4:5" x14ac:dyDescent="0.3">
      <c r="D13" t="s">
        <v>5</v>
      </c>
      <c r="E13">
        <v>6000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2DC47-CAC9-4E8A-92C0-C6EE7D967CED}">
  <dimension ref="A1:B18"/>
  <sheetViews>
    <sheetView zoomScaleNormal="100" workbookViewId="0">
      <selection activeCell="B9" sqref="B9"/>
    </sheetView>
  </sheetViews>
  <sheetFormatPr defaultRowHeight="14.4" x14ac:dyDescent="0.3"/>
  <cols>
    <col min="1" max="1" width="47.77734375" customWidth="1"/>
    <col min="2" max="3" width="19.109375" customWidth="1"/>
  </cols>
  <sheetData>
    <row r="1" spans="1:2" ht="23.4" x14ac:dyDescent="0.45">
      <c r="A1" s="3" t="s">
        <v>60</v>
      </c>
    </row>
    <row r="2" spans="1:2" ht="23.4" x14ac:dyDescent="0.45">
      <c r="A2" s="3" t="s">
        <v>61</v>
      </c>
    </row>
    <row r="4" spans="1:2" x14ac:dyDescent="0.3">
      <c r="A4" t="s">
        <v>62</v>
      </c>
    </row>
    <row r="5" spans="1:2" x14ac:dyDescent="0.3">
      <c r="A5" t="s">
        <v>63</v>
      </c>
      <c r="B5" s="4">
        <f>SUM(Sales_Data!J:J)</f>
        <v>8919.318181818182</v>
      </c>
    </row>
    <row r="6" spans="1:2" x14ac:dyDescent="0.3">
      <c r="A6" t="s">
        <v>64</v>
      </c>
      <c r="B6" s="2">
        <f>COUNTA(Sales_Data!A11:A25)</f>
        <v>15</v>
      </c>
    </row>
    <row r="7" spans="1:2" x14ac:dyDescent="0.3">
      <c r="A7" t="s">
        <v>65</v>
      </c>
      <c r="B7" s="4">
        <f>B5/B6</f>
        <v>594.62121212121212</v>
      </c>
    </row>
    <row r="8" spans="1:2" x14ac:dyDescent="0.3">
      <c r="A8" t="s">
        <v>66</v>
      </c>
      <c r="B8" s="4">
        <f>SUM(Sales_Data!M11:M25)</f>
        <v>3021.5</v>
      </c>
    </row>
    <row r="10" spans="1:2" x14ac:dyDescent="0.3">
      <c r="A10" t="s">
        <v>67</v>
      </c>
    </row>
    <row r="11" spans="1:2" x14ac:dyDescent="0.3">
      <c r="A11" t="s">
        <v>68</v>
      </c>
      <c r="B11" t="str">
        <f>INDEX(Sales_Data!F:F,MATCH(MAX(Sales_Data!J:J),Sales_Data!J:J,0))</f>
        <v>Brisbane</v>
      </c>
    </row>
    <row r="12" spans="1:2" x14ac:dyDescent="0.3">
      <c r="A12" t="s">
        <v>69</v>
      </c>
      <c r="B12" t="str">
        <f>INDEX(Table4[product],MATCH(MAX(Table4[helper_column]),Table4[helper_column],0))</f>
        <v>Laptop</v>
      </c>
    </row>
    <row r="13" spans="1:2" x14ac:dyDescent="0.3">
      <c r="A13" t="s">
        <v>71</v>
      </c>
      <c r="B13" t="str">
        <f>ROUND(MAX(Sales_Data!Q:Q),2)&amp;"%"</f>
        <v>652.39%</v>
      </c>
    </row>
    <row r="15" spans="1:2" x14ac:dyDescent="0.3">
      <c r="A15" t="s">
        <v>72</v>
      </c>
    </row>
    <row r="16" spans="1:2" x14ac:dyDescent="0.3">
      <c r="A16" t="s">
        <v>73</v>
      </c>
      <c r="B16">
        <f>Sales_Data!H4</f>
        <v>80.765876030499982</v>
      </c>
    </row>
    <row r="17" spans="1:2" x14ac:dyDescent="0.3">
      <c r="A17" t="s">
        <v>74</v>
      </c>
      <c r="B17">
        <f>Sales_Data!H5</f>
        <v>19.234123969500015</v>
      </c>
    </row>
    <row r="18" spans="1:2" x14ac:dyDescent="0.3">
      <c r="A18" t="s">
        <v>76</v>
      </c>
      <c r="B18" t="str">
        <f>ROUND(AVERAGE(Sales_Data!I:I)*100,2)&amp;"%"</f>
        <v>9.33%</v>
      </c>
    </row>
  </sheetData>
  <conditionalFormatting sqref="B5:B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{6CE852B4-5C61-44CA-AB89-3F1225907E40}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E852B4-5C61-44CA-AB89-3F1225907E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B5:B8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Sales_Data</vt:lpstr>
      <vt:lpstr>Product_Lookup</vt:lpstr>
      <vt:lpstr>Target_Sales</vt:lpstr>
      <vt:lpstr>Dashboard1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2025-11-28T03:08:37Z</dcterms:created>
  <dcterms:modified xsi:type="dcterms:W3CDTF">2025-11-30T16:41:38Z</dcterms:modified>
</cp:coreProperties>
</file>